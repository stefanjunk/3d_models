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63eeb70ae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9d0d5bc6e4441d6"/>
    <x:sheet xmlns:r="http://schemas.openxmlformats.org/officeDocument/2006/relationships" name="Product Matrix" sheetId="2" r:id="R490b184bdc624e07"/>
    <x:sheet xmlns:r="http://schemas.openxmlformats.org/officeDocument/2006/relationships" name="Unit Economics" sheetId="3" r:id="Rd437c28a9f4a4841"/>
    <x:sheet xmlns:r="http://schemas.openxmlformats.org/officeDocument/2006/relationships" name="Family Strategy" sheetId="4" r:id="Rbc6fb29f1b9a488d"/>
    <x:sheet xmlns:r="http://schemas.openxmlformats.org/officeDocument/2006/relationships" name="Compliance" sheetId="5" r:id="R42c67465f8ce421f"/>
    <x:sheet xmlns:r="http://schemas.openxmlformats.org/officeDocument/2006/relationships" name="Assumptions" sheetId="6" r:id="R3866c6b9bdb04348"/>
    <x:sheet xmlns:r="http://schemas.openxmlformats.org/officeDocument/2006/relationships" name="Sources" sheetId="7" r:id="R45c3d01825b94308"/>
    <x:sheet xmlns:r="http://schemas.openxmlformats.org/officeDocument/2006/relationships" name="Gated Programs" sheetId="8" r:id="Rd97bd46d8016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€#,##0.00"/>
    <x:numFmt numFmtId="202" formatCode="0"/>
    <x:numFmt numFmtId="203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  <x:font>
      <x:b/>
      <x:sz val="11"/>
      <x:color rgb="FFC94F4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A7F82"/>
      </x:patternFill>
    </x:fill>
    <x:fill>
      <x:patternFill patternType="solid">
        <x:fgColor rgb="FFE8F4F3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  <x:fill>
      <x:patternFill patternType="solid">
        <x:fgColor rgb="FFE6F4ED"/>
      </x:patternFill>
    </x:fill>
    <x:fill>
      <x:patternFill patternType="solid">
        <x:fgColor rgb="FFFBE8E7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3" fillId="5" borderId="0" xfId="0" applyNumberFormat="1" applyFont="1" applyFill="1" applyBorder="1" applyAlignment="1">
      <x:alignment horizontal="center" vertical="center"/>
    </x:xf>
    <x:xf numFmtId="200" fontId="3" fillId="5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3" fontId="4" fillId="6" borderId="0" xfId="0" applyNumberFormat="1" applyFont="1" applyFill="1" applyBorder="1"/>
    <x:xf numFmtId="203" fontId="4" fillId="6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201" fontId="0" fillId="0" borderId="0" xfId="0" applyNumberFormat="1" applyFont="1" applyFill="1" applyBorder="1"/>
    <x:xf numFmtId="201" fontId="1" fillId="4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1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3" fontId="4" fillId="6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3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8" borderId="0" xfId="0" applyNumberFormat="1" applyFont="1" applyFill="1" applyBorder="1"/>
    <x:xf numFmtId="203" fontId="4" fillId="8" borderId="0" xfId="0" applyNumberFormat="1" applyFont="1" applyFill="1" applyBorder="1"/>
    <x:xf numFmtId="203" fontId="0" fillId="8" borderId="1" xfId="0" applyNumberFormat="1" applyFont="1" applyFill="1" applyBorder="1"/>
    <x:xf numFmtId="203" fontId="4" fillId="8" borderId="1" xfId="0" applyNumberFormat="1" applyFont="1" applyFill="1" applyBorder="1"/>
    <x:xf numFmtId="0" fontId="5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ont>
        <x:b/>
        <x:color rgb="FF3B8C6E"/>
      </x:font>
      <x:fill>
        <x:patternFill patternType="solid">
          <x:bgColor rgb="FFE6F4ED"/>
        </x:patternFill>
      </x:fill>
    </x:dxf>
    <x:dxf>
      <x:font>
        <x:b/>
        <x:color rgb="FF2A7F82"/>
      </x:font>
      <x:fill>
        <x:patternFill patternType="solid">
          <x:bgColor rgb="FFE8F4F3"/>
        </x:patternFill>
      </x:fill>
    </x:dxf>
    <x:dxf>
      <x:font>
        <x:b/>
        <x:color rgb="FFD8A03C"/>
      </x:font>
      <x:fill>
        <x:patternFill patternType="solid">
          <x:bgColor rgb="FFFFF4D6"/>
        </x:patternFill>
      </x:fill>
    </x:dxf>
    <x:dxf>
      <x:font>
        <x:b/>
        <x:color rgb="FFC94F4F"/>
      </x:font>
      <x:fill>
        <x:patternFill patternType="solid">
          <x:bgColor rgb="FFFBE8E7"/>
        </x:patternFill>
      </x:fill>
    </x:dxf>
    <x:dxf>
      <x:font>
        <x:color rgb="FF3B8C6E"/>
      </x:font>
      <x:fill>
        <x:patternFill patternType="solid">
          <x:bgColor rgb="FFE6F4ED"/>
        </x:patternFill>
      </x:fill>
    </x:dxf>
    <x:dxf>
      <x:font>
        <x:color rgb="FFD8A03C"/>
      </x:font>
      <x:fill>
        <x:patternFill patternType="solid">
          <x:bgColor rgb="FFFFF4D6"/>
        </x:patternFill>
      </x:fill>
    </x:dxf>
    <x:dxf>
      <x:font>
        <x:color rgb="FF705AA3"/>
      </x:font>
      <x:fill>
        <x:patternFill patternType="solid">
          <x:bgColor rgb="FFEFEAF8"/>
        </x:patternFill>
      </x:fill>
    </x:dxf>
    <x:dxf>
      <x:font>
        <x:b/>
        <x:color rgb="FF3B8C6E"/>
      </x:font>
      <x:fill>
        <x:patternFill patternType="solid">
          <x:bgColor rgb="FFE6F4ED"/>
        </x:patternFill>
      </x:fill>
    </x:dxf>
    <x:dxf>
      <x:font>
        <x:b/>
        <x:color rgb="FFC94F4F"/>
      </x:font>
      <x:fill>
        <x:patternFill patternType="solid">
          <x:bgColor rgb="FFFBE8E7"/>
        </x:patternFill>
      </x:fill>
    </x:dxf>
    <x:dxf>
      <x:font>
        <x:b/>
        <x:color rgb="FFD8A03C"/>
      </x:font>
      <x:fill>
        <x:patternFill patternType="solid">
          <x:bgColor rgb="FFFFF4D6"/>
        </x:patternFill>
      </x:fill>
    </x:dxf>
    <x:dxf>
      <x:font>
        <x:b/>
        <x:color rgb="FF2A7F82"/>
      </x:font>
      <x:fill>
        <x:patternFill patternType="solid">
          <x:bgColor rgb="FFE8F4F3"/>
        </x:patternFill>
      </x:fill>
    </x:dxf>
    <x:dxf>
      <x:font>
        <x:b/>
        <x:color rgb="FFFFFFFF"/>
      </x:font>
      <x:fill>
        <x:patternFill patternType="solid">
          <x:bgColor rgb="FF17324D"/>
        </x:patternFill>
      </x:fill>
    </x:dxf>
    <x:dxf>
      <x:font>
        <x:b/>
        <x:color rgb="FF3B8C6E"/>
      </x:font>
      <x:fill>
        <x:patternFill patternType="solid">
          <x:bgColor rgb="FFE6F4ED"/>
        </x:patternFill>
      </x:fill>
    </x:dxf>
    <x:dxf>
      <x:font>
        <x:b/>
        <x:color rgb="FFC94F4F"/>
      </x:font>
      <x:fill>
        <x:patternFill patternType="solid">
          <x:bgColor rgb="FFFBE8E7"/>
        </x:patternFill>
      </x:fill>
    </x:dxf>
    <x:dxf>
      <x:font>
        <x:b/>
        <x:color rgb="FF3B8C6E"/>
      </x:font>
      <x:fill>
        <x:patternFill patternType="solid">
          <x:bgColor rgb="FFE6F4ED"/>
        </x:patternFill>
      </x:fill>
    </x:dxf>
    <x:dxf>
      <x:font>
        <x:b/>
        <x:color rgb="FFC94F4F"/>
      </x:font>
      <x:fill>
        <x:patternFill patternType="solid">
          <x:bgColor rgb="FFFBE8E7"/>
        </x:patternFill>
      </x:fill>
    </x:dxf>
    <x:dxf>
      <x:font>
        <x:b/>
        <x:color rgb="FFC94F4F"/>
      </x:font>
      <x:fill>
        <x:patternFill patternType="solid">
          <x:bgColor rgb="FFFBE8E7"/>
        </x:patternFill>
      </x:fill>
    </x:dxf>
    <x:dxf>
      <x:font>
        <x:b/>
        <x:color rgb="FFD8A03C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9573b9233474b" /><Relationship Type="http://schemas.openxmlformats.org/officeDocument/2006/relationships/theme" Target="/xl/theme/theme1.xml" Id="Rd14e9bf70c6d4357" /><Relationship Type="http://schemas.openxmlformats.org/officeDocument/2006/relationships/sharedStrings" Target="/xl/sharedStrings.xml" Id="Ra5df4f51ab9b490c" /><Relationship Type="http://schemas.openxmlformats.org/officeDocument/2006/relationships/worksheet" Target="/xl/worksheets/sheet1.xml" Id="R09d0d5bc6e4441d6" /><Relationship Type="http://schemas.openxmlformats.org/officeDocument/2006/relationships/worksheet" Target="/xl/worksheets/sheet2.xml" Id="R490b184bdc624e07" /><Relationship Type="http://schemas.openxmlformats.org/officeDocument/2006/relationships/worksheet" Target="/xl/worksheets/sheet3.xml" Id="Rd437c28a9f4a4841" /><Relationship Type="http://schemas.openxmlformats.org/officeDocument/2006/relationships/worksheet" Target="/xl/worksheets/sheet4.xml" Id="Rbc6fb29f1b9a488d" /><Relationship Type="http://schemas.openxmlformats.org/officeDocument/2006/relationships/worksheet" Target="/xl/worksheets/sheet5.xml" Id="R42c67465f8ce421f" /><Relationship Type="http://schemas.openxmlformats.org/officeDocument/2006/relationships/worksheet" Target="/xl/worksheets/sheet6.xml" Id="R3866c6b9bdb04348" /><Relationship Type="http://schemas.openxmlformats.org/officeDocument/2006/relationships/worksheet" Target="/xl/worksheets/sheet7.xml" Id="R45c3d01825b94308" /><Relationship Type="http://schemas.openxmlformats.org/officeDocument/2006/relationships/worksheet" Target="/xl/worksheets/sheet8.xml" Id="Rd97bd46d80164c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f1c95616944b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by launch route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SKU Count</c:v>
          </c:tx>
          <c:cat>
            <c:strRef>
              <c:f>'Dashboard'!$I$10:$I$13</c:f>
              <c:strCache>
                <c:ptCount val="0"/>
              </c:strCache>
            </c:strRef>
          </c:cat>
          <c:val>
            <c:numRef>
              <c:f>'Dashboard'!$J$10:$J$13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14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f1c95616944bb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MatrixTable" displayName="ProductMatrixTable" ref="A1:AT101" headerRowCount="1" totalsRowCount="0" totalsRowShown="0">
  <x:tableColumns count="46">
    <x:tableColumn id="1" name="SKU ID"/>
    <x:tableColumn id="2" name="Product"/>
    <x:tableColumn id="3" name="Product Family"/>
    <x:tableColumn id="4" name="Family Rank"/>
    <x:tableColumn id="5" name="Customer Job"/>
    <x:tableColumn id="6" name="Target Segment"/>
    <x:tableColumn id="7" name="2026 Trend Signal"/>
    <x:tableColumn id="8" name="Trend Score"/>
    <x:tableColumn id="9" name="AM Advantage"/>
    <x:tableColumn id="10" name="Customization"/>
    <x:tableColumn id="11" name="Nontechnical UX Fit"/>
    <x:tableColumn id="12" name="Manufacturing Economics"/>
    <x:tableColumn id="13" name="Max L mm"/>
    <x:tableColumn id="14" name="Max W mm"/>
    <x:tableColumn id="15" name="Max H mm"/>
    <x:tableColumn id="16" name="Size Class"/>
    <x:tableColumn id="17" name="Part Strategy"/>
    <x:tableColumn id="18" name="Primary Material"/>
    <x:tableColumn id="19" name="Secondary BOM"/>
    <x:tableColumn id="20" name="Printer Class"/>
    <x:tableColumn id="21" name="Enclosure"/>
    <x:tableColumn id="22" name="Supports"/>
    <x:tableColumn id="23" name="Difficulty"/>
    <x:tableColumn id="24" name="Customer Inputs"/>
    <x:tableColumn id="25" name="Parametric Variables"/>
    <x:tableColumn id="26" name="Validation / Test"/>
    <x:tableColumn id="27" name="Intended-use Limits"/>
    <x:tableColumn id="28" name="Regulatory Route"/>
    <x:tableColumn id="29" name="Risk Score"/>
    <x:tableColumn id="30" name="Food Contact"/>
    <x:tableColumn id="31" name="Toy / Child Risk"/>
    <x:tableColumn id="32" name="Electrical"/>
    <x:tableColumn id="33" name="Load-bearing"/>
    <x:tableColumn id="34" name="At-home Readiness"/>
    <x:tableColumn id="35" name="IP Strategy"/>
    <x:tableColumn id="36" name="License Needed"/>
    <x:tableColumn id="37" name="Digital SKU Price €"/>
    <x:tableColumn id="38" name="Modeled Local COGS €"/>
    <x:tableColumn id="39" name="Recommended Gross Price €"/>
    <x:tableColumn id="40" name="Contribution Margin"/>
    <x:tableColumn id="41" name="Opportunity Score"/>
    <x:tableColumn id="42" name="Launch Wave"/>
    <x:tableColumn id="43" name="Source IDs"/>
    <x:tableColumn id="44" name="Design Status"/>
    <x:tableColumn id="45" name="Next Gate"/>
    <x:tableColumn id="4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tEconomicsTable" displayName="UnitEconomicsTable" ref="A1:AA101" headerRowCount="1" totalsRowCount="0" totalsRowShown="0">
  <x:tableColumns count="27">
    <x:tableColumn id="1" name="SKU ID"/>
    <x:tableColumn id="2" name="Product"/>
    <x:tableColumn id="3" name="Size Class"/>
    <x:tableColumn id="4" name="Material"/>
    <x:tableColumn id="5" name="Mass g"/>
    <x:tableColumn id="6" name="Print Time h"/>
    <x:tableColumn id="7" name="Hands-on min"/>
    <x:tableColumn id="8" name="Packaging €"/>
    <x:tableColumn id="9" name="Royalty / License €"/>
    <x:tableColumn id="10" name="Material €/kg"/>
    <x:tableColumn id="11" name="Waste %"/>
    <x:tableColumn id="12" name="Material Cost €"/>
    <x:tableColumn id="13" name="Machine Class"/>
    <x:tableColumn id="14" name="Machine €/h"/>
    <x:tableColumn id="15" name="Machine Cost €"/>
    <x:tableColumn id="16" name="Labor Cost €"/>
    <x:tableColumn id="17" name="QA Reserve €"/>
    <x:tableColumn id="18" name="Total Local COGS €"/>
    <x:tableColumn id="19" name="Minimum Net Price €"/>
    <x:tableColumn id="20" name="Recommended Net Price €"/>
    <x:tableColumn id="21" name="VAT %"/>
    <x:tableColumn id="22" name="Recommended Gross Price €"/>
    <x:tableColumn id="23" name="Transaction Fee €"/>
    <x:tableColumn id="24" name="Contribution €"/>
    <x:tableColumn id="25" name="Contribution Margin"/>
    <x:tableColumn id="26" name="Digital SKU Price €"/>
    <x:tableColumn id="27" name="Commercial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milyStrategyTable" displayName="FamilyStrategyTable" ref="A1:M21" headerRowCount="1" totalsRowCount="0" totalsRowShown="0">
  <x:tableColumns count="13">
    <x:tableColumn id="1" name="Rank"/>
    <x:tableColumn id="2" name="Product Family"/>
    <x:tableColumn id="3" name="2026 Base Trend"/>
    <x:tableColumn id="4" name="Why 3D Printing Wins"/>
    <x:tableColumn id="5" name="Core Customer Inputs"/>
    <x:tableColumn id="6" name="Default Materials"/>
    <x:tableColumn id="7" name="SKU Count"/>
    <x:tableColumn id="8" name="Average Opportunity"/>
    <x:tableColumn id="9" name="Wave 1 Count"/>
    <x:tableColumn id="10" name="Specialist / Hold"/>
    <x:tableColumn id="11" name="Hero SKU"/>
    <x:tableColumn id="12" name="Launch Recommendation"/>
    <x:tableColumn id="13" name="Sourc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lianceRoutingTable" displayName="ComplianceRoutingTable" ref="A4:J17" headerRowCount="1" totalsRowCount="0" totalsRowShown="0">
  <x:tableColumns count="10">
    <x:tableColumn id="1" name="ID"/>
    <x:tableColumn id="2" name="Route"/>
    <x:tableColumn id="3" name="Trigger"/>
    <x:tableColumn id="4" name="Initial Rating"/>
    <x:tableColumn id="5" name="Required Work"/>
    <x:tableColumn id="6" name="Documentation Set"/>
    <x:tableColumn id="7" name="Validation"/>
    <x:tableColumn id="8" name="Label / Listing"/>
    <x:tableColumn id="9" name="Release Gate"/>
    <x:tableColumn id="10" name="Source 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RegisterTable" displayName="SourceRegisterTable" ref="A1:I31" headerRowCount="1" totalsRowCount="0" totalsRowShown="0">
  <x:tableColumns count="9">
    <x:tableColumn id="1" name="ID"/>
    <x:tableColumn id="2" name="Category"/>
    <x:tableColumn id="3" name="Publisher"/>
    <x:tableColumn id="4" name="Title"/>
    <x:tableColumn id="5" name="Source Date"/>
    <x:tableColumn id="6" name="Checked"/>
    <x:tableColumn id="7" name="Evidence Used"/>
    <x:tableColumn id="8" name="URL"/>
    <x:tableColumn id="9" name="Used F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tedProgramsTable" displayName="GatedProgramsTable" ref="A4:H16" headerRowCount="1" totalsRowCount="0" totalsRowShown="0">
  <x:tableColumns count="8">
    <x:tableColumn id="1" name="Candidate / Program"/>
    <x:tableColumn id="2" name="Commercial Signal"/>
    <x:tableColumn id="3" name="Primary Gate"/>
    <x:tableColumn id="4" name="Required Before Listing"/>
    <x:tableColumn id="5" name="Suggested Business Route"/>
    <x:tableColumn id="6" name="Current Decision"/>
    <x:tableColumn id="7" name="Example Claims to Avoid"/>
    <x:tableColumn id="8" name="Source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c60d02eb6f40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ae23ef27804e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7ada320ab14a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0fbe8666db48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0018d19cbf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658b5ee54884a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f905b4dfab840c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9" hidden="0" customWidth="1"/>
    <x:col min="3" max="3" width="25" hidden="0" customWidth="1"/>
    <x:col min="4" max="4" width="13" hidden="0" customWidth="1"/>
    <x:col min="5" max="5" width="17" hidden="0" customWidth="1"/>
    <x:col min="6" max="6" width="14" hidden="0" customWidth="1"/>
    <x:col min="7" max="7" width="14" hidden="0" customWidth="1"/>
    <x:col min="8" max="8" width="3" hidden="0" customWidth="1"/>
    <x:col min="9" max="9" width="19" hidden="0" customWidth="1"/>
    <x:col min="10" max="10" width="12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JuSt Innovation — 2026 Commercial 3D-Print Product Portfolio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3" t="str">
        <x:v>100 concrete digital SKUs | EU/Germany launch routing | editable unit economics | research checked 10 August 2026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Total concrete SKUs</x:v>
      </x:c>
      <x:c r="B4" s="22"/>
      <x:c r="C4" s="22" t="str">
        <x:v>Wave 1 candidates</x:v>
      </x:c>
      <x:c r="D4" s="22"/>
      <x:c r="E4" s="22" t="str">
        <x:v>Wave 2 candidates</x:v>
      </x:c>
      <x:c r="F4" s="22"/>
      <x:c r="G4" s="22" t="str">
        <x:v>Specialist / Hold</x:v>
      </x:c>
      <x:c r="H4" s="22"/>
      <x:c r="I4" s="22" t="str">
        <x:v>At-home ready</x:v>
      </x:c>
      <x:c r="J4" s="22"/>
      <x:c r="K4" s="22" t="str">
        <x:v>Average opportunity</x:v>
      </x:c>
      <x:c r="L4" s="22"/>
    </x:row>
    <x:row r="5" ht="28" customHeight="1">
      <x:c r="A5" s="31" t="n">
        <x:f>COUNTA('Product Matrix'!$A$2:$A$101)</x:f>
        <x:v>100</x:v>
      </x:c>
      <x:c r="B5" s="31"/>
      <x:c r="C5" s="31" t="n">
        <x:f>COUNTIF('Product Matrix'!$AP$2:$AP$101,"Wave 1")</x:f>
        <x:v>27</x:v>
      </x:c>
      <x:c r="D5" s="31"/>
      <x:c r="E5" s="31" t="n">
        <x:f>COUNTIF('Product Matrix'!$AP$2:$AP$101,"Wave 2")</x:f>
        <x:v>48</x:v>
      </x:c>
      <x:c r="F5" s="31"/>
      <x:c r="G5" s="31" t="n">
        <x:f>COUNTIF('Product Matrix'!$AP$2:$AP$101,"Specialist / Hold")</x:f>
        <x:v>17</x:v>
      </x:c>
      <x:c r="H5" s="31"/>
      <x:c r="I5" s="31" t="n">
        <x:f>COUNTIF('Product Matrix'!$AH$2:$AH$101,"Ready")</x:f>
        <x:v>48</x:v>
      </x:c>
      <x:c r="J5" s="31"/>
      <x:c r="K5" s="36" t="n">
        <x:f>AVERAGE('Product Matrix'!$AO$2:$AO$101)</x:f>
        <x:v>87.35799999999996</x:v>
      </x:c>
      <x:c r="L5" s="36"/>
    </x:row>
    <x:row r="6" ht="28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6"/>
      <x:c r="L6" s="36"/>
    </x:row>
    <x:row r="8" ht="24" customHeight="1">
      <x:c r="A8" s="38" t="str">
        <x:v>Top 12 launch candidates</x:v>
      </x:c>
      <x:c r="B8" s="38"/>
      <x:c r="C8" s="38"/>
      <x:c r="D8" s="38"/>
      <x:c r="E8" s="38"/>
      <x:c r="F8" s="38"/>
      <x:c r="G8" s="38"/>
      <x:c r="I8" s="38" t="str">
        <x:v>Launch mix</x:v>
      </x:c>
      <x:c r="J8" s="38"/>
    </x:row>
    <x:row r="9" ht="34" customHeight="1">
      <x:c r="A9" s="42" t="str">
        <x:v>Rank</x:v>
      </x:c>
      <x:c r="B9" s="42" t="str">
        <x:v>Product</x:v>
      </x:c>
      <x:c r="C9" s="42" t="str">
        <x:v>Family</x:v>
      </x:c>
      <x:c r="D9" s="42" t="str">
        <x:v>Opportunity</x:v>
      </x:c>
      <x:c r="E9" s="42" t="str">
        <x:v>Launch Wave</x:v>
      </x:c>
      <x:c r="F9" s="42" t="str">
        <x:v>Gross Price €</x:v>
      </x:c>
      <x:c r="G9" s="42" t="str">
        <x:v>Digital SKU €</x:v>
      </x:c>
      <x:c r="I9" s="42" t="str">
        <x:v>Route</x:v>
      </x:c>
      <x:c r="J9" s="42" t="str">
        <x:v>SKU Count</x:v>
      </x:c>
    </x:row>
    <x:row r="10">
      <x:c r="A10" s="46" t="n">
        <x:v>1</x:v>
      </x:c>
      <x:c r="B10" s="46" t="str">
        <x:f>'Product Matrix'!B2</x:f>
        <x:v>Exact-fit drawer grid organizer</x:v>
      </x:c>
      <x:c r="C10" s="46" t="str">
        <x:f>'Product Matrix'!C2</x:f>
        <x:v>Custom desk &amp; drawer organizers</x:v>
      </x:c>
      <x:c r="D10" s="48" t="n">
        <x:f>'Product Matrix'!AO2</x:f>
        <x:v>98.8</x:v>
      </x:c>
      <x:c r="E10" s="46" t="str">
        <x:f>'Product Matrix'!AP2</x:f>
        <x:v>Wave 1</x:v>
      </x:c>
      <x:c r="F10" s="50" t="n">
        <x:f>'Product Matrix'!AM2</x:f>
        <x:v>74.97</x:v>
      </x:c>
      <x:c r="G10" s="50" t="n">
        <x:f>'Product Matrix'!AK2</x:f>
        <x:v>12.9</x:v>
      </x:c>
      <x:c r="I10" t="str">
        <x:v>Wave 1</x:v>
      </x:c>
      <x:c r="J10" t="n">
        <x:f>COUNTIF('Product Matrix'!$AP$2:$AP$101,I10)</x:f>
        <x:v>27</x:v>
      </x:c>
    </x:row>
    <x:row r="11">
      <x:c r="A11" s="46" t="n">
        <x:v>2</x:v>
      </x:c>
      <x:c r="B11" s="46" t="str">
        <x:f>'Product Matrix'!B3</x:f>
        <x:v>Modular desktop tray system</x:v>
      </x:c>
      <x:c r="C11" s="46" t="str">
        <x:f>'Product Matrix'!C3</x:f>
        <x:v>Custom desk &amp; drawer organizers</x:v>
      </x:c>
      <x:c r="D11" s="48" t="n">
        <x:f>'Product Matrix'!AO3</x:f>
        <x:v>98.5</x:v>
      </x:c>
      <x:c r="E11" s="46" t="str">
        <x:f>'Product Matrix'!AP3</x:f>
        <x:v>Wave 1</x:v>
      </x:c>
      <x:c r="F11" s="50" t="n">
        <x:f>'Product Matrix'!AM3</x:f>
        <x:v>48.79</x:v>
      </x:c>
      <x:c r="G11" s="50" t="n">
        <x:f>'Product Matrix'!AK3</x:f>
        <x:v>9.9</x:v>
      </x:c>
      <x:c r="I11" t="str">
        <x:v>Wave 2</x:v>
      </x:c>
      <x:c r="J11" t="n">
        <x:f>COUNTIF('Product Matrix'!$AP$2:$AP$101,I11)</x:f>
        <x:v>48</x:v>
      </x:c>
    </x:row>
    <x:row r="12">
      <x:c r="A12" s="46" t="n">
        <x:v>3</x:v>
      </x:c>
      <x:c r="B12" s="46" t="str">
        <x:f>'Product Matrix'!B4</x:f>
        <x:v>Desk-edge cable clip kit</x:v>
      </x:c>
      <x:c r="C12" s="46" t="str">
        <x:f>'Product Matrix'!C4</x:f>
        <x:v>Cable-management systems</x:v>
      </x:c>
      <x:c r="D12" s="48" t="n">
        <x:f>'Product Matrix'!AO4</x:f>
        <x:v>98.5</x:v>
      </x:c>
      <x:c r="E12" s="46" t="str">
        <x:f>'Product Matrix'!AP4</x:f>
        <x:v>Wave 1</x:v>
      </x:c>
      <x:c r="F12" s="50" t="n">
        <x:f>'Product Matrix'!AM4</x:f>
        <x:v>17.255</x:v>
      </x:c>
      <x:c r="G12" s="50" t="n">
        <x:f>'Product Matrix'!AK4</x:f>
        <x:v>5.9</x:v>
      </x:c>
      <x:c r="I12" t="str">
        <x:v>Wave 3</x:v>
      </x:c>
      <x:c r="J12" t="n">
        <x:f>COUNTIF('Product Matrix'!$AP$2:$AP$101,I12)</x:f>
        <x:v>8</x:v>
      </x:c>
    </x:row>
    <x:row r="13">
      <x:c r="A13" s="46" t="n">
        <x:v>4</x:v>
      </x:c>
      <x:c r="B13" s="46" t="str">
        <x:f>'Product Matrix'!B5</x:f>
        <x:v>Charging-cable docking bar</x:v>
      </x:c>
      <x:c r="C13" s="46" t="str">
        <x:f>'Product Matrix'!C5</x:f>
        <x:v>Cable-management systems</x:v>
      </x:c>
      <x:c r="D13" s="48" t="n">
        <x:f>'Product Matrix'!AO5</x:f>
        <x:v>98.2</x:v>
      </x:c>
      <x:c r="E13" s="46" t="str">
        <x:f>'Product Matrix'!AP5</x:f>
        <x:v>Wave 2</x:v>
      </x:c>
      <x:c r="F13" s="50" t="n">
        <x:f>'Product Matrix'!AM5</x:f>
        <x:v>31.535</x:v>
      </x:c>
      <x:c r="G13" s="50" t="n">
        <x:f>'Product Matrix'!AK5</x:f>
        <x:v>8.9</x:v>
      </x:c>
      <x:c r="I13" t="str">
        <x:v>Specialist / Hold</x:v>
      </x:c>
      <x:c r="J13" t="n">
        <x:f>COUNTIF('Product Matrix'!$AP$2:$AP$101,I13)</x:f>
        <x:v>17</x:v>
      </x:c>
    </x:row>
    <x:row r="14">
      <x:c r="A14" s="46" t="n">
        <x:v>5</x:v>
      </x:c>
      <x:c r="B14" s="46" t="str">
        <x:f>'Product Matrix'!B6</x:f>
        <x:v>Adjustable passive phone stand</x:v>
      </x:c>
      <x:c r="C14" s="46" t="str">
        <x:f>'Product Matrix'!C6</x:f>
        <x:v>Phone/tablet stands &amp; passive docks</x:v>
      </x:c>
      <x:c r="D14" s="48" t="n">
        <x:f>'Product Matrix'!AO6</x:f>
        <x:v>97.9</x:v>
      </x:c>
      <x:c r="E14" s="46" t="str">
        <x:f>'Product Matrix'!AP6</x:f>
        <x:v>Wave 1</x:v>
      </x:c>
      <x:c r="F14" s="50" t="n">
        <x:f>'Product Matrix'!AM6</x:f>
        <x:v>35.699999999999996</x:v>
      </x:c>
      <x:c r="G14" s="50" t="n">
        <x:f>'Product Matrix'!AK6</x:f>
        <x:v>8.9</x:v>
      </x:c>
    </x:row>
    <x:row r="15">
      <x:c r="A15" s="46" t="n">
        <x:v>6</x:v>
      </x:c>
      <x:c r="B15" s="46" t="str">
        <x:f>'Product Matrix'!B7</x:f>
        <x:v>Custom lipstick and tube grid</x:v>
      </x:c>
      <x:c r="C15" s="46" t="str">
        <x:f>'Product Matrix'!C7</x:f>
        <x:v>Makeup &amp; vanity organizers</x:v>
      </x:c>
      <x:c r="D15" s="48" t="n">
        <x:f>'Product Matrix'!AO7</x:f>
        <x:v>97.6</x:v>
      </x:c>
      <x:c r="E15" s="46" t="str">
        <x:f>'Product Matrix'!AP7</x:f>
        <x:v>Wave 1</x:v>
      </x:c>
      <x:c r="F15" s="50" t="n">
        <x:f>'Product Matrix'!AM7</x:f>
        <x:v>38.675</x:v>
      </x:c>
      <x:c r="G15" s="50" t="n">
        <x:f>'Product Matrix'!AK7</x:f>
        <x:v>8.9</x:v>
      </x:c>
    </x:row>
    <x:row r="16">
      <x:c r="A16" s="46" t="n">
        <x:v>7</x:v>
      </x:c>
      <x:c r="B16" s="46" t="str">
        <x:f>'Product Matrix'!B8</x:f>
        <x:v>Vertical makeup-palette organizer</x:v>
      </x:c>
      <x:c r="C16" s="46" t="str">
        <x:f>'Product Matrix'!C8</x:f>
        <x:v>Makeup &amp; vanity organizers</x:v>
      </x:c>
      <x:c r="D16" s="48" t="n">
        <x:f>'Product Matrix'!AO8</x:f>
        <x:v>97.3</x:v>
      </x:c>
      <x:c r="E16" s="46" t="str">
        <x:f>'Product Matrix'!AP8</x:f>
        <x:v>Wave 1</x:v>
      </x:c>
      <x:c r="F16" s="50" t="n">
        <x:f>'Product Matrix'!AM8</x:f>
        <x:v>49.98</x:v>
      </x:c>
      <x:c r="G16" s="50" t="n">
        <x:f>'Product Matrix'!AK8</x:f>
        <x:v>9.9</x:v>
      </x:c>
    </x:row>
    <x:row r="17">
      <x:c r="A17" s="46" t="n">
        <x:v>8</x:v>
      </x:c>
      <x:c r="B17" s="46" t="str">
        <x:f>'Product Matrix'!B9</x:f>
        <x:v>Photo-to-relief portrait panel</x:v>
      </x:c>
      <x:c r="C17" s="46" t="str">
        <x:f>'Product Matrix'!C9</x:f>
        <x:v>3D wall art, reliefs &amp; gallery panels</x:v>
      </x:c>
      <x:c r="D17" s="48" t="n">
        <x:f>'Product Matrix'!AO9</x:f>
        <x:v>95.8</x:v>
      </x:c>
      <x:c r="E17" s="46" t="str">
        <x:f>'Product Matrix'!AP9</x:f>
        <x:v>Wave 1</x:v>
      </x:c>
      <x:c r="F17" s="50" t="n">
        <x:f>'Product Matrix'!AM9</x:f>
        <x:v>36.295</x:v>
      </x:c>
      <x:c r="G17" s="50" t="n">
        <x:f>'Product Matrix'!AK9</x:f>
        <x:v>12.9</x:v>
      </x:c>
    </x:row>
    <x:row r="18">
      <x:c r="A18" s="46" t="n">
        <x:v>9</x:v>
      </x:c>
      <x:c r="B18" s="46" t="str">
        <x:f>'Product Matrix'!B10</x:f>
        <x:v>Bedside passive device dock</x:v>
      </x:c>
      <x:c r="C18" s="46" t="str">
        <x:f>'Product Matrix'!C10</x:f>
        <x:v>Phone/tablet stands &amp; passive docks</x:v>
      </x:c>
      <x:c r="D18" s="48" t="n">
        <x:f>'Product Matrix'!AO10</x:f>
        <x:v>95.6</x:v>
      </x:c>
      <x:c r="E18" s="46" t="str">
        <x:f>'Product Matrix'!AP10</x:f>
        <x:v>Wave 1</x:v>
      </x:c>
      <x:c r="F18" s="50" t="n">
        <x:f>'Product Matrix'!AM10</x:f>
        <x:v>45.815</x:v>
      </x:c>
      <x:c r="G18" s="50" t="n">
        <x:f>'Product Matrix'!AK10</x:f>
        <x:v>11.9</x:v>
      </x:c>
    </x:row>
    <x:row r="19">
      <x:c r="A19" s="46" t="n">
        <x:v>10</x:v>
      </x:c>
      <x:c r="B19" s="46" t="str">
        <x:f>'Product Matrix'!B11</x:f>
        <x:v>Exact-fit vanity drawer insert</x:v>
      </x:c>
      <x:c r="C19" s="46" t="str">
        <x:f>'Product Matrix'!C11</x:f>
        <x:v>Makeup &amp; vanity organizers</x:v>
      </x:c>
      <x:c r="D19" s="48" t="n">
        <x:f>'Product Matrix'!AO11</x:f>
        <x:v>95.6</x:v>
      </x:c>
      <x:c r="E19" s="46" t="str">
        <x:f>'Product Matrix'!AP11</x:f>
        <x:v>Wave 1</x:v>
      </x:c>
      <x:c r="F19" s="50" t="n">
        <x:f>'Product Matrix'!AM11</x:f>
        <x:v>80.325</x:v>
      </x:c>
      <x:c r="G19" s="50" t="n">
        <x:f>'Product Matrix'!AK11</x:f>
        <x:v>13.9</x:v>
      </x:c>
    </x:row>
    <x:row r="20">
      <x:c r="A20" s="46" t="n">
        <x:v>11</x:v>
      </x:c>
      <x:c r="B20" s="46" t="str">
        <x:f>'Product Matrix'!B12</x:f>
        <x:v>Mahjong rack-and-pusher set</x:v>
      </x:c>
      <x:c r="C20" s="46" t="str">
        <x:f>'Product Matrix'!C12</x:f>
        <x:v>Mahjong racks, pushers &amp; tile trays</x:v>
      </x:c>
      <x:c r="D20" s="48" t="n">
        <x:f>'Product Matrix'!AO12</x:f>
        <x:v>95.3</x:v>
      </x:c>
      <x:c r="E20" s="46" t="str">
        <x:f>'Product Matrix'!AP12</x:f>
        <x:v>Wave 1</x:v>
      </x:c>
      <x:c r="F20" s="50" t="n">
        <x:f>'Product Matrix'!AM12</x:f>
        <x:v>147.56</x:v>
      </x:c>
      <x:c r="G20" s="50" t="n">
        <x:f>'Product Matrix'!AK12</x:f>
        <x:v>14.9</x:v>
      </x:c>
    </x:row>
    <x:row r="21">
      <x:c r="A21" s="46" t="n">
        <x:v>12</x:v>
      </x:c>
      <x:c r="B21" s="46" t="str">
        <x:f>'Product Matrix'!B13</x:f>
        <x:v>Personalized modular mahjong rack set</x:v>
      </x:c>
      <x:c r="C21" s="46" t="str">
        <x:f>'Product Matrix'!C13</x:f>
        <x:v>Mahjong racks, pushers &amp; tile trays</x:v>
      </x:c>
      <x:c r="D21" s="48" t="n">
        <x:f>'Product Matrix'!AO13</x:f>
        <x:v>95.3</x:v>
      </x:c>
      <x:c r="E21" s="46" t="str">
        <x:f>'Product Matrix'!AP13</x:f>
        <x:v>Wave 1</x:v>
      </x:c>
      <x:c r="F21" s="50" t="n">
        <x:f>'Product Matrix'!AM13</x:f>
        <x:v>121.38</x:v>
      </x:c>
      <x:c r="G21" s="50" t="n">
        <x:f>'Product Matrix'!AK13</x:f>
        <x:v>14.9</x:v>
      </x:c>
    </x:row>
    <x:row r="24" ht="24" customHeight="1">
      <x:c r="A24" s="38" t="str">
        <x:v>Commercial guardrails built into the portfolio</x:v>
      </x:c>
      <x:c r="B24" s="38"/>
      <x:c r="C24" s="38"/>
      <x:c r="D24" s="38"/>
      <x:c r="E24" s="38"/>
      <x:c r="F24" s="38"/>
      <x:c r="G24" s="38"/>
      <x:c r="I24" s="38" t="str">
        <x:v>How to use this workbook</x:v>
      </x:c>
      <x:c r="J24" s="38"/>
      <x:c r="K24" s="38"/>
      <x:c r="L24" s="38"/>
    </x:row>
    <x:row r="25" ht="34" customHeight="1">
      <x:c r="A25" s="42" t="str">
        <x:v>Topic</x:v>
      </x:c>
      <x:c r="B25" s="42" t="str">
        <x:v>Default guardrail</x:v>
      </x:c>
      <x:c r="C25" s="42" t="str">
        <x:v>Commercial implication</x:v>
      </x:c>
      <x:c r="D25" t="str"/>
      <x:c r="E25" t="str"/>
      <x:c r="F25" t="str"/>
      <x:c r="G25" t="str"/>
    </x:row>
    <x:row r="26" ht="38" customHeight="1">
      <x:c r="A26" s="46" t="str">
        <x:v>Core size</x:v>
      </x:c>
      <x:c r="B26" s="46" t="str">
        <x:v>≤240 × 240 × 240 mm</x:v>
      </x:c>
      <x:c r="C26" s="46" t="str">
        <x:v>Default interoperable catalog; larger products become modular or route to a large node.</x:v>
      </x:c>
      <x:c r="D26" s="46"/>
      <x:c r="E26" s="46"/>
      <x:c r="F26" s="46"/>
      <x:c r="G26" s="46"/>
      <x:c r="I26" s="78" t="str">
        <x:v>1. Filter Product Matrix by Launch Wave, family, material, risk or at-home readiness.</x:v>
      </x:c>
      <x:c r="J26" s="78"/>
      <x:c r="K26" s="78"/>
      <x:c r="L26" s="78"/>
    </x:row>
    <x:row r="27" ht="38" customHeight="1">
      <x:c r="A27" s="46" t="str">
        <x:v>Large size</x:v>
      </x:c>
      <x:c r="B27" s="46" t="str">
        <x:v>≤400 × 400 × 480 mm</x:v>
      </x:c>
      <x:c r="C27" s="46" t="str">
        <x:v>Reserved for qualified large-format nodes; verify build margins and warping risk.</x:v>
      </x:c>
      <x:c r="D27" s="46"/>
      <x:c r="E27" s="46"/>
      <x:c r="F27" s="46"/>
      <x:c r="G27" s="46"/>
      <x:c r="I27" s="78" t="str">
        <x:v>2. Change yellow cells in Assumptions to match your prices, VAT, node costs and margin target.</x:v>
      </x:c>
      <x:c r="J27" s="78"/>
      <x:c r="K27" s="78"/>
      <x:c r="L27" s="78"/>
    </x:row>
    <x:row r="28" ht="38" customHeight="1">
      <x:c r="A28" s="46" t="str">
        <x:v>Materials</x:v>
      </x:c>
      <x:c r="B28" s="46" t="str">
        <x:v>PLA / PETG / ASA / TPU by intended use</x:v>
      </x:c>
      <x:c r="C28" s="46" t="str">
        <x:v>Customer chooses the use case; the rules engine chooses the qualified material and printer class.</x:v>
      </x:c>
      <x:c r="D28" s="46"/>
      <x:c r="E28" s="46"/>
      <x:c r="F28" s="46"/>
      <x:c r="G28" s="46"/>
      <x:c r="I28" s="78" t="str">
        <x:v>3. Review Unit Economics for local-print retail pricing and digital-SKU pricing side by side.</x:v>
      </x:c>
      <x:c r="J28" s="78"/>
      <x:c r="K28" s="78"/>
      <x:c r="L28" s="78"/>
    </x:row>
    <x:row r="29" ht="38" customHeight="1">
      <x:c r="A29" s="46" t="str">
        <x:v>Food contact</x:v>
      </x:c>
      <x:c r="B29" s="46" t="str">
        <x:v>Separate qualified program</x:v>
      </x:c>
      <x:c r="C29" s="46" t="str">
        <x:v>No generic 'food-safe filament' claim. Validate the finished article, process, traceability and migration obligations.</x:v>
      </x:c>
      <x:c r="D29" s="46"/>
      <x:c r="E29" s="46"/>
      <x:c r="F29" s="46"/>
      <x:c r="G29" s="46"/>
      <x:c r="I29" s="78" t="str">
        <x:v>4. Move Design Status through Selected → Concept → Prototype → Validated → Live only after the listed Next Gate.</x:v>
      </x:c>
      <x:c r="J29" s="78"/>
      <x:c r="K29" s="78"/>
      <x:c r="L29" s="78"/>
    </x:row>
    <x:row r="30" ht="38" customHeight="1">
      <x:c r="A30" s="46" t="str">
        <x:v>Children / toys</x:v>
      </x:c>
      <x:c r="B30" s="46" t="str">
        <x:v>Specialist compliance route</x:v>
      </x:c>
      <x:c r="C30" s="46" t="str">
        <x:v>Do not treat obvious children's play products as ordinary decor; safety assessment and CE route may apply.</x:v>
      </x:c>
      <x:c r="D30" s="46"/>
      <x:c r="E30" s="46"/>
      <x:c r="F30" s="46"/>
      <x:c r="G30" s="46"/>
      <x:c r="I30" s="78" t="str">
        <x:v>5. Use Compliance and Sources as the evidence register for each Digital SKU file.</x:v>
      </x:c>
      <x:c r="J30" s="78"/>
      <x:c r="K30" s="78"/>
      <x:c r="L30" s="78"/>
    </x:row>
    <x:row r="31" ht="42" customHeight="1">
      <x:c r="A31" s="46" t="str">
        <x:v>Electrical</x:v>
      </x:c>
      <x:c r="B31" s="46" t="str">
        <x:v>Passive accessories first</x:v>
      </x:c>
      <x:c r="C31" s="46" t="str">
        <x:v>Sell shades, holders and diffusers—not uncertified powered assemblies—in the initial catalog.</x:v>
      </x:c>
      <x:c r="D31" s="46"/>
      <x:c r="E31" s="46"/>
      <x:c r="F31" s="46"/>
      <x:c r="G31" s="46"/>
      <x:c r="I31" s="89" t="str">
        <x:v>See Gated Programs for food-contact, toys, powered electrical products, PPE, medical and safety-critical exclusions.</x:v>
      </x:c>
      <x:c r="J31" s="89"/>
      <x:c r="K31" s="89"/>
      <x:c r="L31" s="89"/>
    </x:row>
    <x:row r="32" ht="28" customHeight="1">
      <x:c r="A32" s="46" t="str">
        <x:v>Loads / mounting</x:v>
      </x:c>
      <x:c r="B32" s="46" t="str">
        <x:v>Tested load classes</x:v>
      </x:c>
      <x:c r="C32" s="46" t="str">
        <x:v>Wall hooks, shelves and mounts require approved fasteners, test evidence and explicit intended-use limits.</x:v>
      </x:c>
      <x:c r="D32" s="46"/>
      <x:c r="E32" s="46"/>
      <x:c r="F32" s="46"/>
      <x:c r="G32" s="46"/>
      <x:c r="I32" s="78"/>
      <x:c r="J32" s="78"/>
      <x:c r="K32" s="78"/>
      <x:c r="L32" s="78"/>
    </x:row>
    <x:row r="33" ht="28" customHeight="1">
      <x:c r="A33" s="46" t="str">
        <x:v>Rights</x:v>
      </x:c>
      <x:c r="B33" s="46" t="str">
        <x:v>Owned or evidenced commercial rights</x:v>
      </x:c>
      <x:c r="C33" s="46" t="str">
        <x:v>Each digital SKU stores design provenance, license proof and customer-content rules.</x:v>
      </x:c>
      <x:c r="D33" s="46"/>
      <x:c r="E33" s="46"/>
      <x:c r="F33" s="46"/>
      <x:c r="G33" s="46"/>
      <x:c r="I33" s="78"/>
      <x:c r="J33" s="78"/>
      <x:c r="K33" s="78"/>
      <x:c r="L33" s="78"/>
    </x:row>
    <x:row r="34" ht="28" customHeight="1">
      <x:c r="I34" s="78"/>
      <x:c r="J34" s="78"/>
      <x:c r="K34" s="78"/>
      <x:c r="L34" s="78"/>
    </x:row>
    <x:row r="35" ht="28" customHeight="1">
      <x:c r="I35" s="78"/>
      <x:c r="J35" s="78"/>
      <x:c r="K35" s="78"/>
      <x:c r="L35" s="78"/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G8"/>
    <x:mergeCell ref="I8:J8"/>
    <x:mergeCell ref="A24:G24"/>
    <x:mergeCell ref="C26:G26"/>
    <x:mergeCell ref="C27:G27"/>
    <x:mergeCell ref="C28:G28"/>
    <x:mergeCell ref="C29:G29"/>
    <x:mergeCell ref="C30:G30"/>
    <x:mergeCell ref="C31:G31"/>
    <x:mergeCell ref="C32:G32"/>
    <x:mergeCell ref="C33:G33"/>
    <x:mergeCell ref="I24:L24"/>
    <x:mergeCell ref="I26:L26"/>
    <x:mergeCell ref="I27:L27"/>
    <x:mergeCell ref="I28:L28"/>
    <x:mergeCell ref="I29:L29"/>
    <x:mergeCell ref="I30:L30"/>
    <x:mergeCell ref="I31:L31"/>
  </x:mergeCells>
  <x:conditionalFormatting sqref="D10:D21">
    <x:cfRule type="colorScale" priority="1">
      <x:colorScale>
        <x:cfvo type="min"/>
        <x:cfvo type="percentile" val="50"/>
        <x:cfvo type="max"/>
        <x:color rgb="FFFFF4D6"/>
        <x:color rgb="FFE8F4F3"/>
        <x:color rgb="FFE6F4ED"/>
      </x:colorScale>
    </x:cfRule>
  </x:conditionalFormatting>
  <x:pageMargins left="0.7" right="0.7" top="0.75" bottom="0.75" header="0.3" footer="0.3"/>
  <x:drawing xmlns:r="http://schemas.openxmlformats.org/officeDocument/2006/relationships" r:id="R42c60d02eb6f40cd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8" hidden="0" customWidth="1"/>
    <x:col min="4" max="4" width="9" hidden="0" customWidth="1"/>
    <x:col min="5" max="5" width="34" hidden="0" customWidth="1"/>
    <x:col min="6" max="6" width="25" hidden="0" customWidth="1"/>
    <x:col min="7" max="7" width="36" hidden="0" customWidth="1"/>
    <x:col min="8" max="8" width="11" hidden="0" customWidth="1"/>
    <x:col min="9" max="9" width="12" hidden="0" customWidth="1"/>
    <x:col min="10" max="10" width="12" hidden="0" customWidth="1"/>
    <x:col min="11" max="11" width="15" hidden="0" customWidth="1"/>
    <x:col min="12" max="12" width="15" hidden="0" customWidth="1"/>
    <x:col min="13" max="13" width="9" hidden="0" customWidth="1"/>
    <x:col min="14" max="14" width="9" hidden="0" customWidth="1"/>
    <x:col min="15" max="15" width="9" hidden="0" customWidth="1"/>
    <x:col min="16" max="16" width="10" hidden="0" customWidth="1"/>
    <x:col min="17" max="17" width="24" hidden="0" customWidth="1"/>
    <x:col min="18" max="18" width="14" hidden="0" customWidth="1"/>
    <x:col min="19" max="19" width="22" hidden="0" customWidth="1"/>
    <x:col min="20" max="20" width="16" hidden="0" customWidth="1"/>
    <x:col min="21" max="21" width="10" hidden="0" customWidth="1"/>
    <x:col min="22" max="22" width="11" hidden="0" customWidth="1"/>
    <x:col min="23" max="23" width="10" hidden="0" customWidth="1"/>
    <x:col min="24" max="24" width="32" hidden="0" customWidth="1"/>
    <x:col min="25" max="25" width="30" hidden="0" customWidth="1"/>
    <x:col min="26" max="26" width="32" hidden="0" customWidth="1"/>
    <x:col min="27" max="27" width="34" hidden="0" customWidth="1"/>
    <x:col min="28" max="28" width="28" hidden="0" customWidth="1"/>
    <x:col min="29" max="29" width="10" hidden="0" customWidth="1"/>
    <x:col min="30" max="30" width="11" hidden="0" customWidth="1"/>
    <x:col min="31" max="31" width="13" hidden="0" customWidth="1"/>
    <x:col min="32" max="32" width="14" hidden="0" customWidth="1"/>
    <x:col min="33" max="33" width="13" hidden="0" customWidth="1"/>
    <x:col min="34" max="34" width="15" hidden="0" customWidth="1"/>
    <x:col min="35" max="35" width="30" hidden="0" customWidth="1"/>
    <x:col min="36" max="36" width="22" hidden="0" customWidth="1"/>
    <x:col min="37" max="37" width="15" hidden="0" customWidth="1"/>
    <x:col min="38" max="38" width="16" hidden="0" customWidth="1"/>
    <x:col min="39" max="39" width="18" hidden="0" customWidth="1"/>
    <x:col min="40" max="40" width="16" hidden="0" customWidth="1"/>
    <x:col min="41" max="41" width="15" hidden="0" customWidth="1"/>
    <x:col min="42" max="42" width="18" hidden="0" customWidth="1"/>
    <x:col min="43" max="43" width="16" hidden="0" customWidth="1"/>
    <x:col min="44" max="44" width="14" hidden="0" customWidth="1"/>
    <x:col min="45" max="45" width="36" hidden="0" customWidth="1"/>
    <x:col min="46" max="46" width="28" hidden="0" customWidth="1"/>
  </x:cols>
  <x:sheetData>
    <x:row r="1" ht="34" customHeight="1">
      <x:c r="A1" s="42" t="str">
        <x:v>SKU ID</x:v>
      </x:c>
      <x:c r="B1" s="42" t="str">
        <x:v>Product</x:v>
      </x:c>
      <x:c r="C1" s="42" t="str">
        <x:v>Product Family</x:v>
      </x:c>
      <x:c r="D1" s="42" t="str">
        <x:v>Family Rank</x:v>
      </x:c>
      <x:c r="E1" s="42" t="str">
        <x:v>Customer Job</x:v>
      </x:c>
      <x:c r="F1" s="42" t="str">
        <x:v>Target Segment</x:v>
      </x:c>
      <x:c r="G1" s="42" t="str">
        <x:v>2026 Trend Signal</x:v>
      </x:c>
      <x:c r="H1" s="42" t="str">
        <x:v>Trend Score</x:v>
      </x:c>
      <x:c r="I1" s="42" t="str">
        <x:v>AM Advantage</x:v>
      </x:c>
      <x:c r="J1" s="42" t="str">
        <x:v>Customization</x:v>
      </x:c>
      <x:c r="K1" s="42" t="str">
        <x:v>Nontechnical UX Fit</x:v>
      </x:c>
      <x:c r="L1" s="42" t="str">
        <x:v>Manufacturing Economics</x:v>
      </x:c>
      <x:c r="M1" s="42" t="str">
        <x:v>Max L mm</x:v>
      </x:c>
      <x:c r="N1" s="42" t="str">
        <x:v>Max W mm</x:v>
      </x:c>
      <x:c r="O1" s="42" t="str">
        <x:v>Max H mm</x:v>
      </x:c>
      <x:c r="P1" s="42" t="str">
        <x:v>Size Class</x:v>
      </x:c>
      <x:c r="Q1" s="42" t="str">
        <x:v>Part Strategy</x:v>
      </x:c>
      <x:c r="R1" s="42" t="str">
        <x:v>Primary Material</x:v>
      </x:c>
      <x:c r="S1" s="42" t="str">
        <x:v>Secondary BOM</x:v>
      </x:c>
      <x:c r="T1" s="42" t="str">
        <x:v>Printer Class</x:v>
      </x:c>
      <x:c r="U1" s="42" t="str">
        <x:v>Enclosure</x:v>
      </x:c>
      <x:c r="V1" s="42" t="str">
        <x:v>Supports</x:v>
      </x:c>
      <x:c r="W1" s="42" t="str">
        <x:v>Difficulty</x:v>
      </x:c>
      <x:c r="X1" s="42" t="str">
        <x:v>Customer Inputs</x:v>
      </x:c>
      <x:c r="Y1" s="42" t="str">
        <x:v>Parametric Variables</x:v>
      </x:c>
      <x:c r="Z1" s="42" t="str">
        <x:v>Validation / Test</x:v>
      </x:c>
      <x:c r="AA1" s="42" t="str">
        <x:v>Intended-use Limits</x:v>
      </x:c>
      <x:c r="AB1" s="42" t="str">
        <x:v>Regulatory Route</x:v>
      </x:c>
      <x:c r="AC1" s="42" t="str">
        <x:v>Risk Score</x:v>
      </x:c>
      <x:c r="AD1" s="42" t="str">
        <x:v>Food Contact</x:v>
      </x:c>
      <x:c r="AE1" s="42" t="str">
        <x:v>Toy / Child Risk</x:v>
      </x:c>
      <x:c r="AF1" s="42" t="str">
        <x:v>Electrical</x:v>
      </x:c>
      <x:c r="AG1" s="42" t="str">
        <x:v>Load-bearing</x:v>
      </x:c>
      <x:c r="AH1" s="42" t="str">
        <x:v>At-home Readiness</x:v>
      </x:c>
      <x:c r="AI1" s="42" t="str">
        <x:v>IP Strategy</x:v>
      </x:c>
      <x:c r="AJ1" s="42" t="str">
        <x:v>License Needed</x:v>
      </x:c>
      <x:c r="AK1" s="42" t="str">
        <x:v>Digital SKU Price €</x:v>
      </x:c>
      <x:c r="AL1" s="42" t="str">
        <x:v>Modeled Local COGS €</x:v>
      </x:c>
      <x:c r="AM1" s="42" t="str">
        <x:v>Recommended Gross Price €</x:v>
      </x:c>
      <x:c r="AN1" s="42" t="str">
        <x:v>Contribution Margin</x:v>
      </x:c>
      <x:c r="AO1" s="42" t="str">
        <x:v>Opportunity Score</x:v>
      </x:c>
      <x:c r="AP1" s="42" t="str">
        <x:v>Launch Wave</x:v>
      </x:c>
      <x:c r="AQ1" s="42" t="str">
        <x:v>Source IDs</x:v>
      </x:c>
      <x:c r="AR1" s="42" t="str">
        <x:v>Design Status</x:v>
      </x:c>
      <x:c r="AS1" s="42" t="str">
        <x:v>Next Gate</x:v>
      </x:c>
      <x:c r="AT1" s="42" t="str">
        <x:v>Notes</x:v>
      </x:c>
    </x:row>
    <x:row r="2" ht="42" customHeight="1">
      <x:c r="A2" s="46" t="str">
        <x:v>SKU-001</x:v>
      </x:c>
      <x:c r="B2" s="46" t="str">
        <x:v>Exact-fit drawer grid organizer</x:v>
      </x:c>
      <x:c r="C2" s="46" t="str">
        <x:v>Custom desk &amp; drawer organizers</x:v>
      </x:c>
      <x:c r="D2" s="46" t="n">
        <x:v>1</x:v>
      </x:c>
      <x:c r="E2" s="46" t="str">
        <x:v>Turn a specific drawer and item collection into a zero-waste organizer layout.</x:v>
      </x:c>
      <x:c r="F2" s="46" t="str">
        <x:v>Home office, kitchen utility, craft users</x:v>
      </x:c>
      <x:c r="G2" s="46" t="str">
        <x:v>Home-office refresh and organization demand; exact-fit customization creates clear additive advantage.</x:v>
      </x:c>
      <x:c r="H2" s="52" t="n">
        <x:v>96</x:v>
      </x:c>
      <x:c r="I2" s="52" t="n">
        <x:v>5</x:v>
      </x:c>
      <x:c r="J2" s="52" t="n">
        <x:v>5</x:v>
      </x:c>
      <x:c r="K2" s="52" t="n">
        <x:v>5</x:v>
      </x:c>
      <x:c r="L2" s="52" t="n">
        <x:v>5</x:v>
      </x:c>
      <x:c r="M2" s="52" t="n">
        <x:v>235</x:v>
      </x:c>
      <x:c r="N2" s="52" t="n">
        <x:v>235</x:v>
      </x:c>
      <x:c r="O2" s="52" t="n">
        <x:v>55</x:v>
      </x:c>
      <x:c r="P2" s="46" t="str">
        <x:v>M</x:v>
      </x:c>
      <x:c r="Q2" s="46" t="str">
        <x:v>Modular cells; largest part shown</x:v>
      </x:c>
      <x:c r="R2" s="46" t="str">
        <x:v>PETG</x:v>
      </x:c>
      <x:c r="S2" s="46" t="str">
        <x:v>Optional label inserts</x:v>
      </x:c>
      <x:c r="T2" s="46" t="str">
        <x:v>Core 250 mm</x:v>
      </x:c>
      <x:c r="U2" s="46" t="str">
        <x:v>No</x:v>
      </x:c>
      <x:c r="V2" s="46" t="str">
        <x:v>None</x:v>
      </x:c>
      <x:c r="W2" s="52" t="n">
        <x:v>2</x:v>
      </x:c>
      <x:c r="X2" s="46" t="str">
        <x:v>Drawer internal L/W/H, item list or overhead photo</x:v>
      </x:c>
      <x:c r="Y2" s="46" t="str">
        <x:v>Cell count, wall thickness, finger scoops, labels</x:v>
      </x:c>
      <x:c r="Z2" s="46" t="str">
        <x:v>Fit coupon, drawer clearance, tip-over check</x:v>
      </x:c>
      <x:c r="AA2" s="46" t="str">
        <x:v>Dry indoor storage; no dishwasher or food-contact claim</x:v>
      </x:c>
      <x:c r="AB2" s="46" t="str">
        <x:v>GPSR standard + dimensional-fit file</x:v>
      </x:c>
      <x:c r="AC2" s="52" t="n">
        <x:v>1</x:v>
      </x:c>
      <x:c r="AD2" s="46" t="str">
        <x:v>No</x:v>
      </x:c>
      <x:c r="AE2" s="46" t="str">
        <x:v>No</x:v>
      </x:c>
      <x:c r="AF2" s="46" t="str">
        <x:v>No</x:v>
      </x:c>
      <x:c r="AG2" s="46" t="str">
        <x:v>No</x:v>
      </x:c>
      <x:c r="AH2" s="46" t="str">
        <x:v>Ready</x:v>
      </x:c>
      <x:c r="AI2" s="46" t="str">
        <x:v>Own parametric CAD; original labels</x:v>
      </x:c>
      <x:c r="AJ2" s="46" t="str">
        <x:v>No—own design</x:v>
      </x:c>
      <x:c r="AK2" s="50" t="n">
        <x:v>12.9</x:v>
      </x:c>
      <x:c r="AL2" s="50" t="n">
        <x:f>'Unit Economics'!R2</x:f>
        <x:v>25.07799</x:v>
      </x:c>
      <x:c r="AM2" s="50" t="n">
        <x:f>'Unit Economics'!V2</x:f>
        <x:v>74.97</x:v>
      </x:c>
      <x:c r="AN2" s="54" t="n">
        <x:f>'Unit Economics'!Y2</x:f>
        <x:v>0.5519366666666667</x:v>
      </x:c>
      <x:c r="AO2" s="48" t="n">
        <x:f>ROUND(H2*Assumptions!$B$39+I2*20*Assumptions!$B$40+J2*20*Assumptions!$B$41+K2*20*Assumptions!$B$42+L2*20*Assumptions!$B$43+(6-AC2)*20*Assumptions!$B$44,1)</x:f>
        <x:v>98.8</x:v>
      </x:c>
      <x:c r="AP2" s="46" t="str">
        <x:f>IF(OR(AC2&gt;=4,AD2="Yes",AE2="Yes",AF2="Complete electrical"),"Specialist / Hold",IF(AND(AO2&gt;=92,AH2="Ready",AC2&lt;=2),"Wave 1",IF(AO2&gt;=82,"Wave 2","Wave 3")))</x:f>
        <x:v>Wave 1</x:v>
      </x:c>
      <x:c r="AQ2" s="46" t="str">
        <x:v>S05; S06; S11; S19</x:v>
      </x:c>
      <x:c r="AR2" s="46" t="str">
        <x:v>Selected</x:v>
      </x:c>
      <x:c r="AS2" s="46" t="str">
        <x:v>Build parametric layout generator and 3 drawer pilot set</x:v>
      </x:c>
      <x:c r="AT2" s="46" t="str"/>
    </x:row>
    <x:row r="3" ht="42" customHeight="1">
      <x:c r="A3" s="46" t="str">
        <x:v>SKU-002</x:v>
      </x:c>
      <x:c r="B3" s="46" t="str">
        <x:v>Modular desktop tray system</x:v>
      </x:c>
      <x:c r="C3" s="46" t="str">
        <x:v>Custom desk &amp; drawer organizers</x:v>
      </x:c>
      <x:c r="D3" s="46" t="n">
        <x:v>1</x:v>
      </x:c>
      <x:c r="E3" s="46" t="str">
        <x:v>Create mix-and-match trays for stationery, keys and small electronics.</x:v>
      </x:c>
      <x:c r="F3" s="46" t="str">
        <x:v>Remote workers, students, creators</x:v>
      </x:c>
      <x:c r="G3" s="46" t="str">
        <x:v>Home-office refresh and organization demand; exact-fit customization creates clear additive advantage.</x:v>
      </x:c>
      <x:c r="H3" s="52" t="n">
        <x:v>95</x:v>
      </x:c>
      <x:c r="I3" s="52" t="n">
        <x:v>5</x:v>
      </x:c>
      <x:c r="J3" s="52" t="n">
        <x:v>5</x:v>
      </x:c>
      <x:c r="K3" s="52" t="n">
        <x:v>5</x:v>
      </x:c>
      <x:c r="L3" s="52" t="n">
        <x:v>5</x:v>
      </x:c>
      <x:c r="M3" s="52" t="n">
        <x:v>230</x:v>
      </x:c>
      <x:c r="N3" s="52" t="n">
        <x:v>180</x:v>
      </x:c>
      <x:c r="O3" s="52" t="n">
        <x:v>45</x:v>
      </x:c>
      <x:c r="P3" s="46" t="str">
        <x:v>M</x:v>
      </x:c>
      <x:c r="Q3" s="46" t="str">
        <x:v>Interlocking modules</x:v>
      </x:c>
      <x:c r="R3" s="46" t="str">
        <x:v>PLA</x:v>
      </x:c>
      <x:c r="S3" s="46" t="str">
        <x:v>Optional PETG base</x:v>
      </x:c>
      <x:c r="T3" s="46" t="str">
        <x:v>Core 250 mm</x:v>
      </x:c>
      <x:c r="U3" s="46" t="str">
        <x:v>No</x:v>
      </x:c>
      <x:c r="V3" s="46" t="str">
        <x:v>None</x:v>
      </x:c>
      <x:c r="W3" s="52" t="n">
        <x:v>1</x:v>
      </x:c>
      <x:c r="X3" s="46" t="str">
        <x:v>Desk footprint, objects, preferred module sizes</x:v>
      </x:c>
      <x:c r="Y3" s="46" t="str">
        <x:v>Tray grid, corner radius, labels, stack height</x:v>
      </x:c>
      <x:c r="Z3" s="46" t="str">
        <x:v>Stack fit, rocking, edge comfort</x:v>
      </x:c>
      <x:c r="AA3" s="46" t="str">
        <x:v>Indoor dry use; not a charging device</x:v>
      </x:c>
      <x:c r="AB3" s="46" t="str">
        <x:v>GPSR standard consumer product</x:v>
      </x:c>
      <x:c r="AC3" s="52" t="n">
        <x:v>1</x:v>
      </x:c>
      <x:c r="AD3" s="46" t="str">
        <x:v>No</x:v>
      </x:c>
      <x:c r="AE3" s="46" t="str">
        <x:v>No</x:v>
      </x:c>
      <x:c r="AF3" s="46" t="str">
        <x:v>No</x:v>
      </x:c>
      <x:c r="AG3" s="46" t="str">
        <x:v>No</x:v>
      </x:c>
      <x:c r="AH3" s="46" t="str">
        <x:v>Ready</x:v>
      </x:c>
      <x:c r="AI3" s="46" t="str">
        <x:v>Own parametric CAD</x:v>
      </x:c>
      <x:c r="AJ3" s="46" t="str">
        <x:v>No—own design</x:v>
      </x:c>
      <x:c r="AK3" s="50" t="n">
        <x:v>9.9</x:v>
      </x:c>
      <x:c r="AL3" s="50" t="n">
        <x:f>'Unit Economics'!R3</x:f>
        <x:v>16.3345</x:v>
      </x:c>
      <x:c r="AM3" s="50" t="n">
        <x:f>'Unit Economics'!V3</x:f>
        <x:v>48.79</x:v>
      </x:c>
      <x:c r="AN3" s="54" t="n">
        <x:f>'Unit Economics'!Y3</x:f>
        <x:v>0.5515975609756097</x:v>
      </x:c>
      <x:c r="AO3" s="48" t="n">
        <x:f>ROUND(H3*Assumptions!$B$39+I3*20*Assumptions!$B$40+J3*20*Assumptions!$B$41+K3*20*Assumptions!$B$42+L3*20*Assumptions!$B$43+(6-AC3)*20*Assumptions!$B$44,1)</x:f>
        <x:v>98.5</x:v>
      </x:c>
      <x:c r="AP3" s="46" t="str">
        <x:f>IF(OR(AC3&gt;=4,AD3="Yes",AE3="Yes",AF3="Complete electrical"),"Specialist / Hold",IF(AND(AO3&gt;=92,AH3="Ready",AC3&lt;=2),"Wave 1",IF(AO3&gt;=82,"Wave 2","Wave 3")))</x:f>
        <x:v>Wave 1</x:v>
      </x:c>
      <x:c r="AQ3" s="46" t="str">
        <x:v>S05; S06; S11; S19</x:v>
      </x:c>
      <x:c r="AR3" s="46" t="str">
        <x:v>Selected</x:v>
      </x:c>
      <x:c r="AS3" s="46" t="str">
        <x:v>Prototype three visual styles and module interface</x:v>
      </x:c>
      <x:c r="AT3" s="46" t="str"/>
    </x:row>
    <x:row r="4" ht="42" customHeight="1">
      <x:c r="A4" s="46" t="str">
        <x:v>SKU-003</x:v>
      </x:c>
      <x:c r="B4" s="46" t="str">
        <x:v>Desk-edge cable clip kit</x:v>
      </x:c>
      <x:c r="C4" s="46" t="str">
        <x:v>Cable-management systems</x:v>
      </x:c>
      <x:c r="D4" s="46" t="n">
        <x:v>2</x:v>
      </x:c>
      <x:c r="E4" s="46" t="str">
        <x:v>Keep frequently used charging cables accessible at a specific desk edge.</x:v>
      </x:c>
      <x:c r="F4" s="46" t="str">
        <x:v>Home-office, bedside and gaming users</x:v>
      </x:c>
      <x:c r="G4" s="46" t="str">
        <x:v>Aesthetic productivity and desk-setup demand, reinforced by active 3D-print cable-management ecosystems.</x:v>
      </x:c>
      <x:c r="H4" s="52" t="n">
        <x:v>95</x:v>
      </x:c>
      <x:c r="I4" s="52" t="n">
        <x:v>5</x:v>
      </x:c>
      <x:c r="J4" s="52" t="n">
        <x:v>5</x:v>
      </x:c>
      <x:c r="K4" s="52" t="n">
        <x:v>5</x:v>
      </x:c>
      <x:c r="L4" s="52" t="n">
        <x:v>5</x:v>
      </x:c>
      <x:c r="M4" s="52" t="n">
        <x:v>80</x:v>
      </x:c>
      <x:c r="N4" s="52" t="n">
        <x:v>25</x:v>
      </x:c>
      <x:c r="O4" s="52" t="n">
        <x:v>20</x:v>
      </x:c>
      <x:c r="P4" s="46" t="str">
        <x:v>S</x:v>
      </x:c>
      <x:c r="Q4" s="46" t="str">
        <x:v>Set of clips in selected sizes</x:v>
      </x:c>
      <x:c r="R4" s="46" t="str">
        <x:v>PETG</x:v>
      </x:c>
      <x:c r="S4" s="46" t="str">
        <x:v>Optional TPU grip pad</x:v>
      </x:c>
      <x:c r="T4" s="46" t="str">
        <x:v>Core 250 mm</x:v>
      </x:c>
      <x:c r="U4" s="46" t="str">
        <x:v>No</x:v>
      </x:c>
      <x:c r="V4" s="46" t="str">
        <x:v>None</x:v>
      </x:c>
      <x:c r="W4" s="52" t="n">
        <x:v>1</x:v>
      </x:c>
      <x:c r="X4" s="46" t="str">
        <x:v>Desk thickness, cable diameters, desired clip count</x:v>
      </x:c>
      <x:c r="Y4" s="46" t="str">
        <x:v>Jaw gap, cable slot, clip spacing, grip pad</x:v>
      </x:c>
      <x:c r="Z4" s="46" t="str">
        <x:v>Insertion cycles, cable pinch check, desk-marking check</x:v>
      </x:c>
      <x:c r="AA4" s="46" t="str">
        <x:v>Passive cable routing only; not electrical insulation</x:v>
      </x:c>
      <x:c r="AB4" s="46" t="str">
        <x:v>GPSR standard consumer product</x:v>
      </x:c>
      <x:c r="AC4" s="52" t="n">
        <x:v>1</x:v>
      </x:c>
      <x:c r="AD4" s="46" t="str">
        <x:v>No</x:v>
      </x:c>
      <x:c r="AE4" s="46" t="str">
        <x:v>No</x:v>
      </x:c>
      <x:c r="AF4" s="46" t="str">
        <x:v>Accessory only</x:v>
      </x:c>
      <x:c r="AG4" s="46" t="str">
        <x:v>No</x:v>
      </x:c>
      <x:c r="AH4" s="46" t="str">
        <x:v>Ready</x:v>
      </x:c>
      <x:c r="AI4" s="46" t="str">
        <x:v>Own parametric CAD</x:v>
      </x:c>
      <x:c r="AJ4" s="46" t="str">
        <x:v>No—own design</x:v>
      </x:c>
      <x:c r="AK4" s="50" t="n">
        <x:v>5.9</x:v>
      </x:c>
      <x:c r="AL4" s="50" t="n">
        <x:f>'Unit Economics'!R4</x:f>
        <x:v>5.701779999999999</x:v>
      </x:c>
      <x:c r="AM4" s="50" t="n">
        <x:f>'Unit Economics'!V4</x:f>
        <x:v>17.255</x:v>
      </x:c>
      <x:c r="AN4" s="54" t="n">
        <x:f>'Unit Economics'!Y4</x:f>
        <x:v>0.5567737931034483</x:v>
      </x:c>
      <x:c r="AO4" s="48" t="n">
        <x:f>ROUND(H4*Assumptions!$B$39+I4*20*Assumptions!$B$40+J4*20*Assumptions!$B$41+K4*20*Assumptions!$B$42+L4*20*Assumptions!$B$43+(6-AC4)*20*Assumptions!$B$44,1)</x:f>
        <x:v>98.5</x:v>
      </x:c>
      <x:c r="AP4" s="46" t="str">
        <x:f>IF(OR(AC4&gt;=4,AD4="Yes",AE4="Yes",AF4="Complete electrical"),"Specialist / Hold",IF(AND(AO4&gt;=92,AH4="Ready",AC4&lt;=2),"Wave 1",IF(AO4&gt;=82,"Wave 2","Wave 3")))</x:f>
        <x:v>Wave 1</x:v>
      </x:c>
      <x:c r="AQ4" s="46" t="str">
        <x:v>S05; S09; S11; S19</x:v>
      </x:c>
      <x:c r="AR4" s="46" t="str">
        <x:v>Selected</x:v>
      </x:c>
      <x:c r="AS4" s="46" t="str">
        <x:v>Create diameter/thickness wizard and test matrix</x:v>
      </x:c>
      <x:c r="AT4" s="46" t="str"/>
    </x:row>
    <x:row r="5" ht="42" customHeight="1">
      <x:c r="A5" s="46" t="str">
        <x:v>SKU-004</x:v>
      </x:c>
      <x:c r="B5" s="46" t="str">
        <x:v>Charging-cable docking bar</x:v>
      </x:c>
      <x:c r="C5" s="46" t="str">
        <x:v>Cable-management systems</x:v>
      </x:c>
      <x:c r="D5" s="46" t="n">
        <x:v>2</x:v>
      </x:c>
      <x:c r="E5" s="46" t="str">
        <x:v>Dock multiple charging cable ends so they do not fall behind furniture.</x:v>
      </x:c>
      <x:c r="F5" s="46" t="str">
        <x:v>Multi-device households and desks</x:v>
      </x:c>
      <x:c r="G5" s="46" t="str">
        <x:v>Aesthetic productivity and desk-setup demand, reinforced by active 3D-print cable-management ecosystems.</x:v>
      </x:c>
      <x:c r="H5" s="52" t="n">
        <x:v>94</x:v>
      </x:c>
      <x:c r="I5" s="52" t="n">
        <x:v>5</x:v>
      </x:c>
      <x:c r="J5" s="52" t="n">
        <x:v>5</x:v>
      </x:c>
      <x:c r="K5" s="52" t="n">
        <x:v>5</x:v>
      </x:c>
      <x:c r="L5" s="52" t="n">
        <x:v>5</x:v>
      </x:c>
      <x:c r="M5" s="52" t="n">
        <x:v>180</x:v>
      </x:c>
      <x:c r="N5" s="52" t="n">
        <x:v>45</x:v>
      </x:c>
      <x:c r="O5" s="52" t="n">
        <x:v>25</x:v>
      </x:c>
      <x:c r="P5" s="46" t="str">
        <x:v>M</x:v>
      </x:c>
      <x:c r="Q5" s="46" t="str">
        <x:v>Rigid bar with flexible inserts</x:v>
      </x:c>
      <x:c r="R5" s="46" t="str">
        <x:v>PETG</x:v>
      </x:c>
      <x:c r="S5" s="46" t="str">
        <x:v>TPU inserts</x:v>
      </x:c>
      <x:c r="T5" s="46" t="str">
        <x:v>Core 250 mm</x:v>
      </x:c>
      <x:c r="U5" s="46" t="str">
        <x:v>No</x:v>
      </x:c>
      <x:c r="V5" s="46" t="str">
        <x:v>None</x:v>
      </x:c>
      <x:c r="W5" s="52" t="n">
        <x:v>2</x:v>
      </x:c>
      <x:c r="X5" s="46" t="str">
        <x:v>Cable connector types, diameters, bar length</x:v>
      </x:c>
      <x:c r="Y5" s="46" t="str">
        <x:v>Insert slots, spacing, mounting style, label icons</x:v>
      </x:c>
      <x:c r="Z5" s="46" t="str">
        <x:v>Connector retention, 500 insertion cycles, cable jacket check</x:v>
      </x:c>
      <x:c r="AA5" s="46" t="str">
        <x:v>Passive organizer; does not charge or electrically connect devices</x:v>
      </x:c>
      <x:c r="AB5" s="46" t="str">
        <x:v>GPSR standard consumer product</x:v>
      </x:c>
      <x:c r="AC5" s="52" t="n">
        <x:v>1</x:v>
      </x:c>
      <x:c r="AD5" s="46" t="str">
        <x:v>No</x:v>
      </x:c>
      <x:c r="AE5" s="46" t="str">
        <x:v>No</x:v>
      </x:c>
      <x:c r="AF5" s="46" t="str">
        <x:v>Accessory only</x:v>
      </x:c>
      <x:c r="AG5" s="46" t="str">
        <x:v>No</x:v>
      </x:c>
      <x:c r="AH5" s="46" t="str">
        <x:v>Guided</x:v>
      </x:c>
      <x:c r="AI5" s="46" t="str">
        <x:v>Own CAD and original icons</x:v>
      </x:c>
      <x:c r="AJ5" s="46" t="str">
        <x:v>No—own design</x:v>
      </x:c>
      <x:c r="AK5" s="50" t="n">
        <x:v>8.9</x:v>
      </x:c>
      <x:c r="AL5" s="50" t="n">
        <x:f>'Unit Economics'!R5</x:f>
        <x:v>10.56223</x:v>
      </x:c>
      <x:c r="AM5" s="50" t="n">
        <x:f>'Unit Economics'!V5</x:f>
        <x:v>31.535</x:v>
      </x:c>
      <x:c r="AN5" s="54" t="n">
        <x:f>'Unit Economics'!Y5</x:f>
        <x:v>0.551425283018868</x:v>
      </x:c>
      <x:c r="AO5" s="48" t="n">
        <x:f>ROUND(H5*Assumptions!$B$39+I5*20*Assumptions!$B$40+J5*20*Assumptions!$B$41+K5*20*Assumptions!$B$42+L5*20*Assumptions!$B$43+(6-AC5)*20*Assumptions!$B$44,1)</x:f>
        <x:v>98.2</x:v>
      </x:c>
      <x:c r="AP5" s="46" t="str">
        <x:f>IF(OR(AC5&gt;=4,AD5="Yes",AE5="Yes",AF5="Complete electrical"),"Specialist / Hold",IF(AND(AO5&gt;=92,AH5="Ready",AC5&lt;=2),"Wave 1",IF(AO5&gt;=82,"Wave 2","Wave 3")))</x:f>
        <x:v>Wave 2</x:v>
      </x:c>
      <x:c r="AQ5" s="46" t="str">
        <x:v>S05; S09; S11; S19</x:v>
      </x:c>
      <x:c r="AR5" s="46" t="str">
        <x:v>Backlog</x:v>
      </x:c>
      <x:c r="AS5" s="46" t="str">
        <x:v>Develop interchangeable TPU insert family</x:v>
      </x:c>
      <x:c r="AT5" s="46" t="str"/>
    </x:row>
    <x:row r="6" ht="42" customHeight="1">
      <x:c r="A6" s="46" t="str">
        <x:v>SKU-005</x:v>
      </x:c>
      <x:c r="B6" s="46" t="str">
        <x:v>Adjustable passive phone stand</x:v>
      </x:c>
      <x:c r="C6" s="46" t="str">
        <x:v>Phone/tablet stands &amp; passive docks</x:v>
      </x:c>
      <x:c r="D6" s="46" t="n">
        <x:v>3</x:v>
      </x:c>
      <x:c r="E6" s="46" t="str">
        <x:v>Hold a phone at a chosen viewing angle with or without a protective case.</x:v>
      </x:c>
      <x:c r="F6" s="46" t="str">
        <x:v>General consumers, desks and kitchens</x:v>
      </x:c>
      <x:c r="G6" s="46" t="str">
        <x:v>Persistent tech-accessory demand; passive stands are easy to personalize without adding electronics compliance.</x:v>
      </x:c>
      <x:c r="H6" s="52" t="n">
        <x:v>93</x:v>
      </x:c>
      <x:c r="I6" s="52" t="n">
        <x:v>5</x:v>
      </x:c>
      <x:c r="J6" s="52" t="n">
        <x:v>5</x:v>
      </x:c>
      <x:c r="K6" s="52" t="n">
        <x:v>5</x:v>
      </x:c>
      <x:c r="L6" s="52" t="n">
        <x:v>5</x:v>
      </x:c>
      <x:c r="M6" s="52" t="n">
        <x:v>110</x:v>
      </x:c>
      <x:c r="N6" s="52" t="n">
        <x:v>95</x:v>
      </x:c>
      <x:c r="O6" s="52" t="n">
        <x:v>125</x:v>
      </x:c>
      <x:c r="P6" s="46" t="str">
        <x:v>M</x:v>
      </x:c>
      <x:c r="Q6" s="46" t="str">
        <x:v>Two-part hinge with printed pin</x:v>
      </x:c>
      <x:c r="R6" s="46" t="str">
        <x:v>PETG</x:v>
      </x:c>
      <x:c r="S6" s="46" t="str">
        <x:v>TPU contact pads</x:v>
      </x:c>
      <x:c r="T6" s="46" t="str">
        <x:v>Core 250 mm</x:v>
      </x:c>
      <x:c r="U6" s="46" t="str">
        <x:v>No</x:v>
      </x:c>
      <x:c r="V6" s="46" t="str">
        <x:v>None</x:v>
      </x:c>
      <x:c r="W6" s="52" t="n">
        <x:v>2</x:v>
      </x:c>
      <x:c r="X6" s="46" t="str">
        <x:v>Phone width/thickness with case, preferred angle range</x:v>
      </x:c>
      <x:c r="Y6" s="46" t="str">
        <x:v>Jaw width, hinge detents, cable notch, logo/text</x:v>
      </x:c>
      <x:c r="Z6" s="46" t="str">
        <x:v>Tip test, hinge cycles, device-contact check</x:v>
      </x:c>
      <x:c r="AA6" s="46" t="str">
        <x:v>Passive stand only; no charging electronics</x:v>
      </x:c>
      <x:c r="AB6" s="46" t="str">
        <x:v>GPSR standard + stability validation</x:v>
      </x:c>
      <x:c r="AC6" s="52" t="n">
        <x:v>1</x:v>
      </x:c>
      <x:c r="AD6" s="46" t="str">
        <x:v>No</x:v>
      </x:c>
      <x:c r="AE6" s="46" t="str">
        <x:v>No</x:v>
      </x:c>
      <x:c r="AF6" s="46" t="str">
        <x:v>Accessory only</x:v>
      </x:c>
      <x:c r="AG6" s="46" t="str">
        <x:v>No</x:v>
      </x:c>
      <x:c r="AH6" s="46" t="str">
        <x:v>Ready</x:v>
      </x:c>
      <x:c r="AI6" s="46" t="str">
        <x:v>Own parametric CAD</x:v>
      </x:c>
      <x:c r="AJ6" s="46" t="str">
        <x:v>No—own design</x:v>
      </x:c>
      <x:c r="AK6" s="50" t="n">
        <x:v>8.9</x:v>
      </x:c>
      <x:c r="AL6" s="50" t="n">
        <x:f>'Unit Economics'!R6</x:f>
        <x:v>11.88292</x:v>
      </x:c>
      <x:c r="AM6" s="50" t="n">
        <x:f>'Unit Economics'!V6</x:f>
        <x:v>35.699999999999996</x:v>
      </x:c>
      <x:c r="AN6" s="54" t="n">
        <x:f>'Unit Economics'!Y6</x:f>
        <x:v>0.5539026666666668</x:v>
      </x:c>
      <x:c r="AO6" s="48" t="n">
        <x:f>ROUND(H6*Assumptions!$B$39+I6*20*Assumptions!$B$40+J6*20*Assumptions!$B$41+K6*20*Assumptions!$B$42+L6*20*Assumptions!$B$43+(6-AC6)*20*Assumptions!$B$44,1)</x:f>
        <x:v>97.9</x:v>
      </x:c>
      <x:c r="AP6" s="46" t="str">
        <x:f>IF(OR(AC6&gt;=4,AD6="Yes",AE6="Yes",AF6="Complete electrical"),"Specialist / Hold",IF(AND(AO6&gt;=92,AH6="Ready",AC6&lt;=2),"Wave 1",IF(AO6&gt;=82,"Wave 2","Wave 3")))</x:f>
        <x:v>Wave 1</x:v>
      </x:c>
      <x:c r="AQ6" s="46" t="str">
        <x:v>S03; S05; S09; S11; S19</x:v>
      </x:c>
      <x:c r="AR6" s="46" t="str">
        <x:v>Selected</x:v>
      </x:c>
      <x:c r="AS6" s="46" t="str">
        <x:v>Prototype three hinge detent profiles</x:v>
      </x:c>
      <x:c r="AT6" s="46" t="str"/>
    </x:row>
    <x:row r="7" ht="42" customHeight="1">
      <x:c r="A7" s="46" t="str">
        <x:v>SKU-006</x:v>
      </x:c>
      <x:c r="B7" s="46" t="str">
        <x:v>Custom lipstick and tube grid</x:v>
      </x:c>
      <x:c r="C7" s="46" t="str">
        <x:v>Makeup &amp; vanity organizers</x:v>
      </x:c>
      <x:c r="D7" s="46" t="n">
        <x:v>4</x:v>
      </x:c>
      <x:c r="E7" s="46" t="str">
        <x:v>Organize tubes upright in a grid matched to exact product diameters.</x:v>
      </x:c>
      <x:c r="F7" s="46" t="str">
        <x:v>Beauty enthusiasts and salons</x:v>
      </x:c>
      <x:c r="G7" s="46" t="str">
        <x:v>Beauty/self-care personalization plus strong bathroom and vanity organization demand.</x:v>
      </x:c>
      <x:c r="H7" s="52" t="n">
        <x:v>92</x:v>
      </x:c>
      <x:c r="I7" s="52" t="n">
        <x:v>5</x:v>
      </x:c>
      <x:c r="J7" s="52" t="n">
        <x:v>5</x:v>
      </x:c>
      <x:c r="K7" s="52" t="n">
        <x:v>5</x:v>
      </x:c>
      <x:c r="L7" s="52" t="n">
        <x:v>5</x:v>
      </x:c>
      <x:c r="M7" s="52" t="n">
        <x:v>190</x:v>
      </x:c>
      <x:c r="N7" s="52" t="n">
        <x:v>110</x:v>
      </x:c>
      <x:c r="O7" s="52" t="n">
        <x:v>50</x:v>
      </x:c>
      <x:c r="P7" s="46" t="str">
        <x:v>M</x:v>
      </x:c>
      <x:c r="Q7" s="46" t="str">
        <x:v>Single grid or modular tiles</x:v>
      </x:c>
      <x:c r="R7" s="46" t="str">
        <x:v>PETG</x:v>
      </x:c>
      <x:c r="S7" s="46" t="str">
        <x:v>Optional label strip</x:v>
      </x:c>
      <x:c r="T7" s="46" t="str">
        <x:v>Core 250 mm</x:v>
      </x:c>
      <x:c r="U7" s="46" t="str">
        <x:v>No</x:v>
      </x:c>
      <x:c r="V7" s="46" t="str">
        <x:v>None</x:v>
      </x:c>
      <x:c r="W7" s="52" t="n">
        <x:v>1</x:v>
      </x:c>
      <x:c r="X7" s="46" t="str">
        <x:v>Tube count/diameters, drawer or counter footprint</x:v>
      </x:c>
      <x:c r="Y7" s="46" t="str">
        <x:v>Hole diameters, grid spacing, labels, tilt</x:v>
      </x:c>
      <x:c r="Z7" s="46" t="str">
        <x:v>Fit samples, tipping, cleanability inspection</x:v>
      </x:c>
      <x:c r="AA7" s="46" t="str">
        <x:v>Storage only; no direct storage of uncontained formulations</x:v>
      </x:c>
      <x:c r="AB7" s="46" t="str">
        <x:v>GPSR standard consumer product</x:v>
      </x:c>
      <x:c r="AC7" s="52" t="n">
        <x:v>1</x:v>
      </x:c>
      <x:c r="AD7" s="46" t="str">
        <x:v>No</x:v>
      </x:c>
      <x:c r="AE7" s="46" t="str">
        <x:v>No</x:v>
      </x:c>
      <x:c r="AF7" s="46" t="str">
        <x:v>No</x:v>
      </x:c>
      <x:c r="AG7" s="46" t="str">
        <x:v>No</x:v>
      </x:c>
      <x:c r="AH7" s="46" t="str">
        <x:v>Ready</x:v>
      </x:c>
      <x:c r="AI7" s="46" t="str">
        <x:v>Own parametric CAD</x:v>
      </x:c>
      <x:c r="AJ7" s="46" t="str">
        <x:v>No—own design</x:v>
      </x:c>
      <x:c r="AK7" s="50" t="n">
        <x:v>8.9</x:v>
      </x:c>
      <x:c r="AL7" s="50" t="n">
        <x:f>'Unit Economics'!R7</x:f>
        <x:v>12.90611</x:v>
      </x:c>
      <x:c r="AM7" s="50" t="n">
        <x:f>'Unit Economics'!V7</x:f>
        <x:v>38.675</x:v>
      </x:c>
      <x:c r="AN7" s="54" t="n">
        <x:f>'Unit Economics'!Y7</x:f>
        <x:v>0.5528889230769232</x:v>
      </x:c>
      <x:c r="AO7" s="48" t="n">
        <x:f>ROUND(H7*Assumptions!$B$39+I7*20*Assumptions!$B$40+J7*20*Assumptions!$B$41+K7*20*Assumptions!$B$42+L7*20*Assumptions!$B$43+(6-AC7)*20*Assumptions!$B$44,1)</x:f>
        <x:v>97.6</x:v>
      </x:c>
      <x:c r="AP7" s="46" t="str">
        <x:f>IF(OR(AC7&gt;=4,AD7="Yes",AE7="Yes",AF7="Complete electrical"),"Specialist / Hold",IF(AND(AO7&gt;=92,AH7="Ready",AC7&lt;=2),"Wave 1",IF(AO7&gt;=82,"Wave 2","Wave 3")))</x:f>
        <x:v>Wave 1</x:v>
      </x:c>
      <x:c r="AQ7" s="46" t="str">
        <x:v>S07; S11; S19</x:v>
      </x:c>
      <x:c r="AR7" s="46" t="str">
        <x:v>Selected</x:v>
      </x:c>
      <x:c r="AS7" s="46" t="str">
        <x:v>Create diameter capture guide and sample fit ring</x:v>
      </x:c>
      <x:c r="AT7" s="46" t="str"/>
    </x:row>
    <x:row r="8" ht="42" customHeight="1">
      <x:c r="A8" s="46" t="str">
        <x:v>SKU-007</x:v>
      </x:c>
      <x:c r="B8" s="46" t="str">
        <x:v>Vertical makeup-palette organizer</x:v>
      </x:c>
      <x:c r="C8" s="46" t="str">
        <x:v>Makeup &amp; vanity organizers</x:v>
      </x:c>
      <x:c r="D8" s="46" t="n">
        <x:v>4</x:v>
      </x:c>
      <x:c r="E8" s="46" t="str">
        <x:v>Store palettes and compacts vertically with customized slot spacing.</x:v>
      </x:c>
      <x:c r="F8" s="46" t="str">
        <x:v>Beauty enthusiasts, salons and dorms</x:v>
      </x:c>
      <x:c r="G8" s="46" t="str">
        <x:v>Beauty/self-care personalization plus strong bathroom and vanity organization demand.</x:v>
      </x:c>
      <x:c r="H8" s="52" t="n">
        <x:v>91</x:v>
      </x:c>
      <x:c r="I8" s="52" t="n">
        <x:v>5</x:v>
      </x:c>
      <x:c r="J8" s="52" t="n">
        <x:v>5</x:v>
      </x:c>
      <x:c r="K8" s="52" t="n">
        <x:v>5</x:v>
      </x:c>
      <x:c r="L8" s="52" t="n">
        <x:v>5</x:v>
      </x:c>
      <x:c r="M8" s="52" t="n">
        <x:v>225</x:v>
      </x:c>
      <x:c r="N8" s="52" t="n">
        <x:v>110</x:v>
      </x:c>
      <x:c r="O8" s="52" t="n">
        <x:v>135</x:v>
      </x:c>
      <x:c r="P8" s="46" t="str">
        <x:v>M</x:v>
      </x:c>
      <x:c r="Q8" s="46" t="str">
        <x:v>Single body or modular dividers</x:v>
      </x:c>
      <x:c r="R8" s="46" t="str">
        <x:v>PETG</x:v>
      </x:c>
      <x:c r="S8" s="46" t="str">
        <x:v>None</x:v>
      </x:c>
      <x:c r="T8" s="46" t="str">
        <x:v>Core 250 mm</x:v>
      </x:c>
      <x:c r="U8" s="46" t="str">
        <x:v>No</x:v>
      </x:c>
      <x:c r="V8" s="46" t="str">
        <x:v>None</x:v>
      </x:c>
      <x:c r="W8" s="52" t="n">
        <x:v>1</x:v>
      </x:c>
      <x:c r="X8" s="46" t="str">
        <x:v>Palette widths/thicknesses, count, shelf footprint</x:v>
      </x:c>
      <x:c r="Y8" s="46" t="str">
        <x:v>Slot spacing, divider height, finger access, labels</x:v>
      </x:c>
      <x:c r="Z8" s="46" t="str">
        <x:v>Fit check, tip test, edge inspection</x:v>
      </x:c>
      <x:c r="AA8" s="46" t="str">
        <x:v>Dry storage; keep away from high-heat hair tools</x:v>
      </x:c>
      <x:c r="AB8" s="46" t="str">
        <x:v>GPSR standard consumer product</x:v>
      </x:c>
      <x:c r="AC8" s="52" t="n">
        <x:v>1</x:v>
      </x:c>
      <x:c r="AD8" s="46" t="str">
        <x:v>No</x:v>
      </x:c>
      <x:c r="AE8" s="46" t="str">
        <x:v>No</x:v>
      </x:c>
      <x:c r="AF8" s="46" t="str">
        <x:v>No</x:v>
      </x:c>
      <x:c r="AG8" s="46" t="str">
        <x:v>No</x:v>
      </x:c>
      <x:c r="AH8" s="46" t="str">
        <x:v>Ready</x:v>
      </x:c>
      <x:c r="AI8" s="46" t="str">
        <x:v>Own parametric CAD</x:v>
      </x:c>
      <x:c r="AJ8" s="46" t="str">
        <x:v>No—own design</x:v>
      </x:c>
      <x:c r="AK8" s="50" t="n">
        <x:v>9.9</x:v>
      </x:c>
      <x:c r="AL8" s="50" t="n">
        <x:f>'Unit Economics'!R8</x:f>
        <x:v>16.60358</x:v>
      </x:c>
      <x:c r="AM8" s="50" t="n">
        <x:f>'Unit Economics'!V8</x:f>
        <x:v>49.98</x:v>
      </x:c>
      <x:c r="AN8" s="54" t="n">
        <x:f>'Unit Economics'!Y8</x:f>
        <x:v>0.5546766666666666</x:v>
      </x:c>
      <x:c r="AO8" s="48" t="n">
        <x:f>ROUND(H8*Assumptions!$B$39+I8*20*Assumptions!$B$40+J8*20*Assumptions!$B$41+K8*20*Assumptions!$B$42+L8*20*Assumptions!$B$43+(6-AC8)*20*Assumptions!$B$44,1)</x:f>
        <x:v>97.3</x:v>
      </x:c>
      <x:c r="AP8" s="46" t="str">
        <x:f>IF(OR(AC8&gt;=4,AD8="Yes",AE8="Yes",AF8="Complete electrical"),"Specialist / Hold",IF(AND(AO8&gt;=92,AH8="Ready",AC8&lt;=2),"Wave 1",IF(AO8&gt;=82,"Wave 2","Wave 3")))</x:f>
        <x:v>Wave 1</x:v>
      </x:c>
      <x:c r="AQ8" s="46" t="str">
        <x:v>S07; S11; S19</x:v>
      </x:c>
      <x:c r="AR8" s="46" t="str">
        <x:v>Selected</x:v>
      </x:c>
      <x:c r="AS8" s="46" t="str">
        <x:v>Build photo-assisted palette dimension capture</x:v>
      </x:c>
      <x:c r="AT8" s="46" t="str"/>
    </x:row>
    <x:row r="9" ht="42" customHeight="1">
      <x:c r="A9" s="46" t="str">
        <x:v>SKU-008</x:v>
      </x:c>
      <x:c r="B9" s="46" t="str">
        <x:v>Photo-to-relief portrait panel</x:v>
      </x:c>
      <x:c r="C9" s="46" t="str">
        <x:v>3D wall art, reliefs &amp; gallery panels</x:v>
      </x:c>
      <x:c r="D9" s="46" t="n">
        <x:v>10</x:v>
      </x:c>
      <x:c r="E9" s="46" t="str">
        <x:v>Convert a customer-owned photo into a shallow relief or lithophane-style panel.</x:v>
      </x:c>
      <x:c r="F9" s="46" t="str">
        <x:v>Personalized gifts and memorial decor</x:v>
      </x:c>
      <x:c r="G9" s="46" t="str">
        <x:v>Etsy reports wall-art decor searches up 110%; wall art also appears in 2026 ecommerce trend lists.</x:v>
      </x:c>
      <x:c r="H9" s="52" t="n">
        <x:v>86</x:v>
      </x:c>
      <x:c r="I9" s="52" t="n">
        <x:v>5</x:v>
      </x:c>
      <x:c r="J9" s="52" t="n">
        <x:v>5</x:v>
      </x:c>
      <x:c r="K9" s="52" t="n">
        <x:v>5</x:v>
      </x:c>
      <x:c r="L9" s="52" t="n">
        <x:v>5</x:v>
      </x:c>
      <x:c r="M9" s="52" t="n">
        <x:v>210</x:v>
      </x:c>
      <x:c r="N9" s="52" t="n">
        <x:v>170</x:v>
      </x:c>
      <x:c r="O9" s="52" t="n">
        <x:v>8</x:v>
      </x:c>
      <x:c r="P9" s="46" t="str">
        <x:v>M</x:v>
      </x:c>
      <x:c r="Q9" s="46" t="str">
        <x:v>Single panel + optional frame</x:v>
      </x:c>
      <x:c r="R9" s="46" t="str">
        <x:v>PLA</x:v>
      </x:c>
      <x:c r="S9" s="46" t="str">
        <x:v>Optional frame/hanger</x:v>
      </x:c>
      <x:c r="T9" s="46" t="str">
        <x:v>Core 250 mm</x:v>
      </x:c>
      <x:c r="U9" s="46" t="str">
        <x:v>No</x:v>
      </x:c>
      <x:c r="V9" s="46" t="str">
        <x:v>None</x:v>
      </x:c>
      <x:c r="W9" s="52" t="n">
        <x:v>2</x:v>
      </x:c>
      <x:c r="X9" s="46" t="str">
        <x:v>High-resolution customer photo and usage rights, size, style</x:v>
      </x:c>
      <x:c r="Y9" s="46" t="str">
        <x:v>Crop, relief depth, frame, caption</x:v>
      </x:c>
      <x:c r="Z9" s="46" t="str">
        <x:v>Preview approval, image comparison, mount fit</x:v>
      </x:c>
      <x:c r="AA9" s="46" t="str">
        <x:v>Customer confirms rights/consent; panel is passive and decorative</x:v>
      </x:c>
      <x:c r="AB9" s="46" t="str">
        <x:v>GPSR standard + content-rights workflow</x:v>
      </x:c>
      <x:c r="AC9" s="52" t="n">
        <x:v>1</x:v>
      </x:c>
      <x:c r="AD9" s="46" t="str">
        <x:v>No</x:v>
      </x:c>
      <x:c r="AE9" s="46" t="str">
        <x:v>No</x:v>
      </x:c>
      <x:c r="AF9" s="46" t="str">
        <x:v>Passive component</x:v>
      </x:c>
      <x:c r="AG9" s="46" t="str">
        <x:v>No</x:v>
      </x:c>
      <x:c r="AH9" s="46" t="str">
        <x:v>Ready</x:v>
      </x:c>
      <x:c r="AI9" s="46" t="str">
        <x:v>Customer-owned image + own conversion workflow</x:v>
      </x:c>
      <x:c r="AJ9" s="46" t="str">
        <x:v>Customer rights confirmation required</x:v>
      </x:c>
      <x:c r="AK9" s="50" t="n">
        <x:v>12.9</x:v>
      </x:c>
      <x:c r="AL9" s="50" t="n">
        <x:f>'Unit Economics'!R9</x:f>
        <x:v>12.03006</x:v>
      </x:c>
      <x:c r="AM9" s="50" t="n">
        <x:f>'Unit Economics'!V9</x:f>
        <x:v>36.295</x:v>
      </x:c>
      <x:c r="AN9" s="54" t="n">
        <x:f>'Unit Economics'!Y9</x:f>
        <x:v>0.5555718032786886</x:v>
      </x:c>
      <x:c r="AO9" s="48" t="n">
        <x:f>ROUND(H9*Assumptions!$B$39+I9*20*Assumptions!$B$40+J9*20*Assumptions!$B$41+K9*20*Assumptions!$B$42+L9*20*Assumptions!$B$43+(6-AC9)*20*Assumptions!$B$44,1)</x:f>
        <x:v>95.8</x:v>
      </x:c>
      <x:c r="AP9" s="46" t="str">
        <x:f>IF(OR(AC9&gt;=4,AD9="Yes",AE9="Yes",AF9="Complete electrical"),"Specialist / Hold",IF(AND(AO9&gt;=92,AH9="Ready",AC9&lt;=2),"Wave 1",IF(AO9&gt;=82,"Wave 2","Wave 3")))</x:f>
        <x:v>Wave 1</x:v>
      </x:c>
      <x:c r="AQ9" s="46" t="str">
        <x:v>S01; S02; S03; S04; S11; S16</x:v>
      </x:c>
      <x:c r="AR9" s="46" t="str">
        <x:v>Selected</x:v>
      </x:c>
      <x:c r="AS9" s="46" t="str">
        <x:v>Build automated preview and rights attestation</x:v>
      </x:c>
      <x:c r="AT9" s="46" t="str"/>
    </x:row>
    <x:row r="10" ht="42" customHeight="1">
      <x:c r="A10" s="46" t="str">
        <x:v>SKU-009</x:v>
      </x:c>
      <x:c r="B10" s="46" t="str">
        <x:v>Bedside passive device dock</x:v>
      </x:c>
      <x:c r="C10" s="46" t="str">
        <x:v>Phone/tablet stands &amp; passive docks</x:v>
      </x:c>
      <x:c r="D10" s="46" t="n">
        <x:v>3</x:v>
      </x:c>
      <x:c r="E10" s="46" t="str">
        <x:v>Create one place for phone, watch strap, glasses and charging cables.</x:v>
      </x:c>
      <x:c r="F10" s="46" t="str">
        <x:v>Bedroom organization and gifting</x:v>
      </x:c>
      <x:c r="G10" s="46" t="str">
        <x:v>Persistent tech-accessory demand; passive stands are easy to personalize without adding electronics compliance.</x:v>
      </x:c>
      <x:c r="H10" s="52" t="n">
        <x:v>92</x:v>
      </x:c>
      <x:c r="I10" s="52" t="n">
        <x:v>5</x:v>
      </x:c>
      <x:c r="J10" s="52" t="n">
        <x:v>5</x:v>
      </x:c>
      <x:c r="K10" s="52" t="n">
        <x:v>5</x:v>
      </x:c>
      <x:c r="L10" s="52" t="n">
        <x:v>4</x:v>
      </x:c>
      <x:c r="M10" s="52" t="n">
        <x:v>190</x:v>
      </x:c>
      <x:c r="N10" s="52" t="n">
        <x:v>130</x:v>
      </x:c>
      <x:c r="O10" s="52" t="n">
        <x:v>75</x:v>
      </x:c>
      <x:c r="P10" s="46" t="str">
        <x:v>M</x:v>
      </x:c>
      <x:c r="Q10" s="46" t="str">
        <x:v>Single body with cable inserts</x:v>
      </x:c>
      <x:c r="R10" s="46" t="str">
        <x:v>PLA</x:v>
      </x:c>
      <x:c r="S10" s="46" t="str">
        <x:v>Optional TPU inserts</x:v>
      </x:c>
      <x:c r="T10" s="46" t="str">
        <x:v>Core 250 mm</x:v>
      </x:c>
      <x:c r="U10" s="46" t="str">
        <x:v>No</x:v>
      </x:c>
      <x:c r="V10" s="46" t="str">
        <x:v>None</x:v>
      </x:c>
      <x:c r="W10" s="52" t="n">
        <x:v>2</x:v>
      </x:c>
      <x:c r="X10" s="46" t="str">
        <x:v>Device dimensions, cable exits, items to store, personalization</x:v>
      </x:c>
      <x:c r="Y10" s="46" t="str">
        <x:v>Slots, trays, connector channel, name plate</x:v>
      </x:c>
      <x:c r="Z10" s="46" t="str">
        <x:v>Device fit, cable bend, nightstand stability</x:v>
      </x:c>
      <x:c r="AA10" s="46" t="str">
        <x:v>Organizer only; customer uses separate certified chargers</x:v>
      </x:c>
      <x:c r="AB10" s="46" t="str">
        <x:v>GPSR standard consumer product</x:v>
      </x:c>
      <x:c r="AC10" s="52" t="n">
        <x:v>1</x:v>
      </x:c>
      <x:c r="AD10" s="46" t="str">
        <x:v>No</x:v>
      </x:c>
      <x:c r="AE10" s="46" t="str">
        <x:v>No</x:v>
      </x:c>
      <x:c r="AF10" s="46" t="str">
        <x:v>Accessory only</x:v>
      </x:c>
      <x:c r="AG10" s="46" t="str">
        <x:v>No</x:v>
      </x:c>
      <x:c r="AH10" s="46" t="str">
        <x:v>Ready</x:v>
      </x:c>
      <x:c r="AI10" s="46" t="str">
        <x:v>Own CAD; licensed fonts</x:v>
      </x:c>
      <x:c r="AJ10" s="46" t="str">
        <x:v>No—own design</x:v>
      </x:c>
      <x:c r="AK10" s="50" t="n">
        <x:v>11.9</x:v>
      </x:c>
      <x:c r="AL10" s="50" t="n">
        <x:f>'Unit Economics'!R10</x:f>
        <x:v>15.363040000000002</x:v>
      </x:c>
      <x:c r="AM10" s="50" t="n">
        <x:f>'Unit Economics'!V10</x:f>
        <x:v>45.815</x:v>
      </x:c>
      <x:c r="AN10" s="54" t="n">
        <x:f>'Unit Economics'!Y10</x:f>
        <x:v>0.5509599999999999</x:v>
      </x:c>
      <x:c r="AO10" s="48" t="n">
        <x:f>ROUND(H10*Assumptions!$B$39+I10*20*Assumptions!$B$40+J10*20*Assumptions!$B$41+K10*20*Assumptions!$B$42+L10*20*Assumptions!$B$43+(6-AC10)*20*Assumptions!$B$44,1)</x:f>
        <x:v>95.6</x:v>
      </x:c>
      <x:c r="AP10" s="46" t="str">
        <x:f>IF(OR(AC10&gt;=4,AD10="Yes",AE10="Yes",AF10="Complete electrical"),"Specialist / Hold",IF(AND(AO10&gt;=92,AH10="Ready",AC10&lt;=2),"Wave 1",IF(AO10&gt;=82,"Wave 2","Wave 3")))</x:f>
        <x:v>Wave 1</x:v>
      </x:c>
      <x:c r="AQ10" s="46" t="str">
        <x:v>S03; S05; S09; S11; S19</x:v>
      </x:c>
      <x:c r="AR10" s="46" t="str">
        <x:v>Selected</x:v>
      </x:c>
      <x:c r="AS10" s="46" t="str">
        <x:v>Create device/cable preset library</x:v>
      </x:c>
      <x:c r="AT10" s="46" t="str"/>
    </x:row>
    <x:row r="11" ht="42" customHeight="1">
      <x:c r="A11" s="46" t="str">
        <x:v>SKU-010</x:v>
      </x:c>
      <x:c r="B11" s="46" t="str">
        <x:v>Exact-fit vanity drawer insert</x:v>
      </x:c>
      <x:c r="C11" s="46" t="str">
        <x:v>Makeup &amp; vanity organizers</x:v>
      </x:c>
      <x:c r="D11" s="46" t="n">
        <x:v>4</x:v>
      </x:c>
      <x:c r="E11" s="46" t="str">
        <x:v>Create compartments around a user's actual cosmetics and tools.</x:v>
      </x:c>
      <x:c r="F11" s="46" t="str">
        <x:v>Premium vanity organization customers</x:v>
      </x:c>
      <x:c r="G11" s="46" t="str">
        <x:v>Beauty/self-care personalization plus strong bathroom and vanity organization demand.</x:v>
      </x:c>
      <x:c r="H11" s="52" t="n">
        <x:v>92</x:v>
      </x:c>
      <x:c r="I11" s="52" t="n">
        <x:v>5</x:v>
      </x:c>
      <x:c r="J11" s="52" t="n">
        <x:v>5</x:v>
      </x:c>
      <x:c r="K11" s="52" t="n">
        <x:v>5</x:v>
      </x:c>
      <x:c r="L11" s="52" t="n">
        <x:v>4</x:v>
      </x:c>
      <x:c r="M11" s="52" t="n">
        <x:v>235</x:v>
      </x:c>
      <x:c r="N11" s="52" t="n">
        <x:v>235</x:v>
      </x:c>
      <x:c r="O11" s="52" t="n">
        <x:v>65</x:v>
      </x:c>
      <x:c r="P11" s="46" t="str">
        <x:v>M</x:v>
      </x:c>
      <x:c r="Q11" s="46" t="str">
        <x:v>Modular insert with removable bins</x:v>
      </x:c>
      <x:c r="R11" s="46" t="str">
        <x:v>PETG</x:v>
      </x:c>
      <x:c r="S11" s="46" t="str">
        <x:v>Optional labels</x:v>
      </x:c>
      <x:c r="T11" s="46" t="str">
        <x:v>Core 250 mm</x:v>
      </x:c>
      <x:c r="U11" s="46" t="str">
        <x:v>No</x:v>
      </x:c>
      <x:c r="V11" s="46" t="str">
        <x:v>None</x:v>
      </x:c>
      <x:c r="W11" s="52" t="n">
        <x:v>2</x:v>
      </x:c>
      <x:c r="X11" s="46" t="str">
        <x:v>Drawer dimensions and item photo/dimensions</x:v>
      </x:c>
      <x:c r="Y11" s="46" t="str">
        <x:v>Compartment layout, bin depth, handles, labels</x:v>
      </x:c>
      <x:c r="Z11" s="46" t="str">
        <x:v>Drawer fit coupon, removal clearance, cleaning check</x:v>
      </x:c>
      <x:c r="AA11" s="46" t="str">
        <x:v>Storage only; no direct formulation contact</x:v>
      </x:c>
      <x:c r="AB11" s="46" t="str">
        <x:v>GPSR standard + dimensional-fit file</x:v>
      </x:c>
      <x:c r="AC11" s="52" t="n">
        <x:v>1</x:v>
      </x:c>
      <x:c r="AD11" s="46" t="str">
        <x:v>No</x:v>
      </x:c>
      <x:c r="AE11" s="46" t="str">
        <x:v>No</x:v>
      </x:c>
      <x:c r="AF11" s="46" t="str">
        <x:v>No</x:v>
      </x:c>
      <x:c r="AG11" s="46" t="str">
        <x:v>No</x:v>
      </x:c>
      <x:c r="AH11" s="46" t="str">
        <x:v>Ready</x:v>
      </x:c>
      <x:c r="AI11" s="46" t="str">
        <x:v>Own parametric CAD</x:v>
      </x:c>
      <x:c r="AJ11" s="46" t="str">
        <x:v>No—own design</x:v>
      </x:c>
      <x:c r="AK11" s="50" t="n">
        <x:v>13.9</x:v>
      </x:c>
      <x:c r="AL11" s="50" t="n">
        <x:f>'Unit Economics'!R11</x:f>
        <x:v>26.91626</x:v>
      </x:c>
      <x:c r="AM11" s="50" t="n">
        <x:f>'Unit Economics'!V11</x:f>
        <x:v>80.325</x:v>
      </x:c>
      <x:c r="AN11" s="54" t="n">
        <x:f>'Unit Economics'!Y11</x:f>
        <x:v>0.5512405925925926</x:v>
      </x:c>
      <x:c r="AO11" s="48" t="n">
        <x:f>ROUND(H11*Assumptions!$B$39+I11*20*Assumptions!$B$40+J11*20*Assumptions!$B$41+K11*20*Assumptions!$B$42+L11*20*Assumptions!$B$43+(6-AC11)*20*Assumptions!$B$44,1)</x:f>
        <x:v>95.6</x:v>
      </x:c>
      <x:c r="AP11" s="46" t="str">
        <x:f>IF(OR(AC11&gt;=4,AD11="Yes",AE11="Yes",AF11="Complete electrical"),"Specialist / Hold",IF(AND(AO11&gt;=92,AH11="Ready",AC11&lt;=2),"Wave 1",IF(AO11&gt;=82,"Wave 2","Wave 3")))</x:f>
        <x:v>Wave 1</x:v>
      </x:c>
      <x:c r="AQ11" s="46" t="str">
        <x:v>S07; S11; S19</x:v>
      </x:c>
      <x:c r="AR11" s="46" t="str">
        <x:v>Selected</x:v>
      </x:c>
      <x:c r="AS11" s="46" t="str">
        <x:v>Reuse drawer layout engine from organizer MVP</x:v>
      </x:c>
      <x:c r="AT11" s="46" t="str"/>
    </x:row>
    <x:row r="12" ht="42" customHeight="1">
      <x:c r="A12" s="46" t="str">
        <x:v>SKU-011</x:v>
      </x:c>
      <x:c r="B12" s="46" t="str">
        <x:v>Mahjong rack-and-pusher set</x:v>
      </x:c>
      <x:c r="C12" s="46" t="str">
        <x:v>Mahjong racks, pushers &amp; tile trays</x:v>
      </x:c>
      <x:c r="D12" s="46" t="n">
        <x:v>6</x:v>
      </x:c>
      <x:c r="E12" s="46" t="str">
        <x:v>Combine tile rack and matching pusher in a personalized set.</x:v>
      </x:c>
      <x:c r="F12" s="46" t="str">
        <x:v>Adult mahjong groups and premium gifts</x:v>
      </x:c>
      <x:c r="G12" s="46" t="str">
        <x:v>Etsy Spring/Summer 2026 reports mahjong-rack searches up 228%.</x:v>
      </x:c>
      <x:c r="H12" s="52" t="n">
        <x:v>91</x:v>
      </x:c>
      <x:c r="I12" s="52" t="n">
        <x:v>5</x:v>
      </x:c>
      <x:c r="J12" s="52" t="n">
        <x:v>5</x:v>
      </x:c>
      <x:c r="K12" s="52" t="n">
        <x:v>5</x:v>
      </x:c>
      <x:c r="L12" s="52" t="n">
        <x:v>4</x:v>
      </x:c>
      <x:c r="M12" s="52" t="n">
        <x:v>235</x:v>
      </x:c>
      <x:c r="N12" s="52" t="n">
        <x:v>75</x:v>
      </x:c>
      <x:c r="O12" s="52" t="n">
        <x:v>48</x:v>
      </x:c>
      <x:c r="P12" s="46" t="str">
        <x:v>M</x:v>
      </x:c>
      <x:c r="Q12" s="46" t="str">
        <x:v>Modular rack and pusher set</x:v>
      </x:c>
      <x:c r="R12" s="46" t="str">
        <x:v>PETG</x:v>
      </x:c>
      <x:c r="S12" s="46" t="str">
        <x:v>Optional felt feet</x:v>
      </x:c>
      <x:c r="T12" s="46" t="str">
        <x:v>Core 250 mm</x:v>
      </x:c>
      <x:c r="U12" s="46" t="str">
        <x:v>No</x:v>
      </x:c>
      <x:c r="V12" s="46" t="str">
        <x:v>None</x:v>
      </x:c>
      <x:c r="W12" s="52" t="n">
        <x:v>2</x:v>
      </x:c>
      <x:c r="X12" s="46" t="str">
        <x:v>Tile dimensions, table surface, rack length, personalization</x:v>
      </x:c>
      <x:c r="Y12" s="46" t="str">
        <x:v>Groove, pusher profile, joints, feet, names</x:v>
      </x:c>
      <x:c r="Z12" s="46" t="str">
        <x:v>Tile fit, pusher straightness, table-marking test</x:v>
      </x:c>
      <x:c r="AA12" s="46" t="str">
        <x:v>Adult tabletop accessory; no branded logos without rights</x:v>
      </x:c>
      <x:c r="AB12" s="46" t="str">
        <x:v>GPSR standard + joint/surface validation</x:v>
      </x:c>
      <x:c r="AC12" s="52" t="n">
        <x:v>1</x:v>
      </x:c>
      <x:c r="AD12" s="46" t="str">
        <x:v>No</x:v>
      </x:c>
      <x:c r="AE12" s="46" t="str">
        <x:v>Potential</x:v>
      </x:c>
      <x:c r="AF12" s="46" t="str">
        <x:v>No</x:v>
      </x:c>
      <x:c r="AG12" s="46" t="str">
        <x:v>No</x:v>
      </x:c>
      <x:c r="AH12" s="46" t="str">
        <x:v>Ready</x:v>
      </x:c>
      <x:c r="AI12" s="46" t="str">
        <x:v>Own parametric CAD</x:v>
      </x:c>
      <x:c r="AJ12" s="46" t="str">
        <x:v>No—own design</x:v>
      </x:c>
      <x:c r="AK12" s="50" t="n">
        <x:v>14.9</x:v>
      </x:c>
      <x:c r="AL12" s="50" t="n">
        <x:f>'Unit Economics'!R12</x:f>
        <x:v>49.42252</x:v>
      </x:c>
      <x:c r="AM12" s="50" t="n">
        <x:f>'Unit Economics'!V12</x:f>
        <x:v>147.56</x:v>
      </x:c>
      <x:c r="AN12" s="54" t="n">
        <x:f>'Unit Economics'!Y12</x:f>
        <x:v>0.5514312903225806</x:v>
      </x:c>
      <x:c r="AO12" s="48" t="n">
        <x:f>ROUND(H12*Assumptions!$B$39+I12*20*Assumptions!$B$40+J12*20*Assumptions!$B$41+K12*20*Assumptions!$B$42+L12*20*Assumptions!$B$43+(6-AC12)*20*Assumptions!$B$44,1)</x:f>
        <x:v>95.3</x:v>
      </x:c>
      <x:c r="AP12" s="46" t="str">
        <x:f>IF(OR(AC12&gt;=4,AD12="Yes",AE12="Yes",AF12="Complete electrical"),"Specialist / Hold",IF(AND(AO12&gt;=92,AH12="Ready",AC12&lt;=2),"Wave 1",IF(AO12&gt;=82,"Wave 2","Wave 3")))</x:f>
        <x:v>Wave 1</x:v>
      </x:c>
      <x:c r="AQ12" s="46" t="str">
        <x:v>S01; S11; S16; S17</x:v>
      </x:c>
      <x:c r="AR12" s="46" t="str">
        <x:v>Selected</x:v>
      </x:c>
      <x:c r="AS12" s="46" t="str">
        <x:v>Create premium texture and felt-foot option</x:v>
      </x:c>
      <x:c r="AT12" s="46" t="str"/>
    </x:row>
    <x:row r="13" ht="42" customHeight="1">
      <x:c r="A13" s="46" t="str">
        <x:v>SKU-012</x:v>
      </x:c>
      <x:c r="B13" s="46" t="str">
        <x:v>Personalized modular mahjong rack set</x:v>
      </x:c>
      <x:c r="C13" s="46" t="str">
        <x:v>Mahjong racks, pushers &amp; tile trays</x:v>
      </x:c>
      <x:c r="D13" s="46" t="n">
        <x:v>6</x:v>
      </x:c>
      <x:c r="E13" s="46" t="str">
        <x:v>Provide four full-length racks assembled from printer-friendly modules.</x:v>
      </x:c>
      <x:c r="F13" s="46" t="str">
        <x:v>Adult mahjong players and gift buyers</x:v>
      </x:c>
      <x:c r="G13" s="46" t="str">
        <x:v>Etsy Spring/Summer 2026 reports mahjong-rack searches up 228%.</x:v>
      </x:c>
      <x:c r="H13" s="52" t="n">
        <x:v>91</x:v>
      </x:c>
      <x:c r="I13" s="52" t="n">
        <x:v>5</x:v>
      </x:c>
      <x:c r="J13" s="52" t="n">
        <x:v>5</x:v>
      </x:c>
      <x:c r="K13" s="52" t="n">
        <x:v>5</x:v>
      </x:c>
      <x:c r="L13" s="52" t="n">
        <x:v>4</x:v>
      </x:c>
      <x:c r="M13" s="52" t="n">
        <x:v>235</x:v>
      </x:c>
      <x:c r="N13" s="52" t="n">
        <x:v>70</x:v>
      </x:c>
      <x:c r="O13" s="52" t="n">
        <x:v>45</x:v>
      </x:c>
      <x:c r="P13" s="46" t="str">
        <x:v>M</x:v>
      </x:c>
      <x:c r="Q13" s="46" t="str">
        <x:v>Four modular racks; snap/dowel assembly</x:v>
      </x:c>
      <x:c r="R13" s="46" t="str">
        <x:v>PLA</x:v>
      </x:c>
      <x:c r="S13" s="46" t="str">
        <x:v>Optional metal or printed alignment pins</x:v>
      </x:c>
      <x:c r="T13" s="46" t="str">
        <x:v>Core 250 mm</x:v>
      </x:c>
      <x:c r="U13" s="46" t="str">
        <x:v>No</x:v>
      </x:c>
      <x:c r="V13" s="46" t="str">
        <x:v>None</x:v>
      </x:c>
      <x:c r="W13" s="52" t="n">
        <x:v>2</x:v>
      </x:c>
      <x:c r="X13" s="46" t="str">
        <x:v>Tile dimensions, desired assembled length, names/colors</x:v>
      </x:c>
      <x:c r="Y13" s="46" t="str">
        <x:v>Module length, tile groove, joint, text, end caps</x:v>
      </x:c>
      <x:c r="Z13" s="46" t="str">
        <x:v>Tile fit, joint cycles, straightness, table-scratch check</x:v>
      </x:c>
      <x:c r="AA13" s="46" t="str">
        <x:v>Adult tabletop accessory; no protected game artwork</x:v>
      </x:c>
      <x:c r="AB13" s="46" t="str">
        <x:v>GPSR standard + joint validation</x:v>
      </x:c>
      <x:c r="AC13" s="52" t="n">
        <x:v>1</x:v>
      </x:c>
      <x:c r="AD13" s="46" t="str">
        <x:v>No</x:v>
      </x:c>
      <x:c r="AE13" s="46" t="str">
        <x:v>Potential</x:v>
      </x:c>
      <x:c r="AF13" s="46" t="str">
        <x:v>No</x:v>
      </x:c>
      <x:c r="AG13" s="46" t="str">
        <x:v>No</x:v>
      </x:c>
      <x:c r="AH13" s="46" t="str">
        <x:v>Ready</x:v>
      </x:c>
      <x:c r="AI13" s="46" t="str">
        <x:v>Own generic CAD; licensed fonts</x:v>
      </x:c>
      <x:c r="AJ13" s="46" t="str">
        <x:v>No—own design</x:v>
      </x:c>
      <x:c r="AK13" s="50" t="n">
        <x:v>14.9</x:v>
      </x:c>
      <x:c r="AL13" s="50" t="n">
        <x:f>'Unit Economics'!R13</x:f>
        <x:v>40.69464</x:v>
      </x:c>
      <x:c r="AM13" s="50" t="n">
        <x:f>'Unit Economics'!V13</x:f>
        <x:v>121.38</x:v>
      </x:c>
      <x:c r="AN13" s="54" t="n">
        <x:f>'Unit Economics'!Y13</x:f>
        <x:v>0.5510329411764706</x:v>
      </x:c>
      <x:c r="AO13" s="48" t="n">
        <x:f>ROUND(H13*Assumptions!$B$39+I13*20*Assumptions!$B$40+J13*20*Assumptions!$B$41+K13*20*Assumptions!$B$42+L13*20*Assumptions!$B$43+(6-AC13)*20*Assumptions!$B$44,1)</x:f>
        <x:v>95.3</x:v>
      </x:c>
      <x:c r="AP13" s="46" t="str">
        <x:f>IF(OR(AC13&gt;=4,AD13="Yes",AE13="Yes",AF13="Complete electrical"),"Specialist / Hold",IF(AND(AO13&gt;=92,AH13="Ready",AC13&lt;=2),"Wave 1",IF(AO13&gt;=82,"Wave 2","Wave 3")))</x:f>
        <x:v>Wave 1</x:v>
      </x:c>
      <x:c r="AQ13" s="46" t="str">
        <x:v>S01; S11; S16; S17</x:v>
      </x:c>
      <x:c r="AR13" s="46" t="str">
        <x:v>Selected</x:v>
      </x:c>
      <x:c r="AS13" s="46" t="str">
        <x:v>Prototype low-visibility joint and four tile standards</x:v>
      </x:c>
      <x:c r="AT13" s="46" t="str"/>
    </x:row>
    <x:row r="14" ht="42" customHeight="1">
      <x:c r="A14" s="46" t="str">
        <x:v>SKU-013</x:v>
      </x:c>
      <x:c r="B14" s="46" t="str">
        <x:v>Business QR-code tabletop sign</x:v>
      </x:c>
      <x:c r="C14" s="46" t="str">
        <x:v>Personalized signs, house numbers &amp; event decor</x:v>
      </x:c>
      <x:c r="D14" s="46" t="n">
        <x:v>11</x:v>
      </x:c>
      <x:c r="E14" s="46" t="str">
        <x:v>Display a customer-provided URL or payment/review QR code in a branded stand.</x:v>
      </x:c>
      <x:c r="F14" s="46" t="str">
        <x:v>Cafes, salons, markets and offices</x:v>
      </x:c>
      <x:c r="G14" s="46" t="str">
        <x:v>Personalized gifting and 2026 celebration/party-decor growth support made-to-order signage.</x:v>
      </x:c>
      <x:c r="H14" s="52" t="n">
        <x:v>84</x:v>
      </x:c>
      <x:c r="I14" s="52" t="n">
        <x:v>5</x:v>
      </x:c>
      <x:c r="J14" s="52" t="n">
        <x:v>5</x:v>
      </x:c>
      <x:c r="K14" s="52" t="n">
        <x:v>5</x:v>
      </x:c>
      <x:c r="L14" s="52" t="n">
        <x:v>5</x:v>
      </x:c>
      <x:c r="M14" s="52" t="n">
        <x:v>185</x:v>
      </x:c>
      <x:c r="N14" s="52" t="n">
        <x:v>125</x:v>
      </x:c>
      <x:c r="O14" s="52" t="n">
        <x:v>75</x:v>
      </x:c>
      <x:c r="P14" s="46" t="str">
        <x:v>M</x:v>
      </x:c>
      <x:c r="Q14" s="46" t="str">
        <x:v>Base + replaceable QR faceplate</x:v>
      </x:c>
      <x:c r="R14" s="46" t="str">
        <x:v>PLA</x:v>
      </x:c>
      <x:c r="S14" s="46" t="str">
        <x:v>Optional NFC holder without electronics</x:v>
      </x:c>
      <x:c r="T14" s="46" t="str">
        <x:v>Core 250 mm</x:v>
      </x:c>
      <x:c r="U14" s="46" t="str">
        <x:v>No</x:v>
      </x:c>
      <x:c r="V14" s="46" t="str">
        <x:v>None</x:v>
      </x:c>
      <x:c r="W14" s="52" t="n">
        <x:v>2</x:v>
      </x:c>
      <x:c r="X14" s="46" t="str">
        <x:v>URL/QR payload, branding rights, size, colors</x:v>
      </x:c>
      <x:c r="Y14" s="46" t="str">
        <x:v>QR size, quiet zone, text, plate angle, logo</x:v>
      </x:c>
      <x:c r="Z14" s="46" t="str">
        <x:v>Multi-phone scan test, contrast check, URL approval</x:v>
      </x:c>
      <x:c r="AA14" s="46" t="str">
        <x:v>Seller does not verify destination content beyond agreed checks; passive sign only</x:v>
      </x:c>
      <x:c r="AB14" s="46" t="str">
        <x:v>GPSR standard + content/scan validation</x:v>
      </x:c>
      <x:c r="AC14" s="52" t="n">
        <x:v>1</x:v>
      </x:c>
      <x:c r="AD14" s="46" t="str">
        <x:v>No</x:v>
      </x:c>
      <x:c r="AE14" s="46" t="str">
        <x:v>No</x:v>
      </x:c>
      <x:c r="AF14" s="46" t="str">
        <x:v>Passive component</x:v>
      </x:c>
      <x:c r="AG14" s="46" t="str">
        <x:v>No</x:v>
      </x:c>
      <x:c r="AH14" s="46" t="str">
        <x:v>Ready</x:v>
      </x:c>
      <x:c r="AI14" s="46" t="str">
        <x:v>Customer-owned brand assets + own CAD</x:v>
      </x:c>
      <x:c r="AJ14" s="46" t="str">
        <x:v>Customer rights confirmation required</x:v>
      </x:c>
      <x:c r="AK14" s="50" t="n">
        <x:v>9.9</x:v>
      </x:c>
      <x:c r="AL14" s="50" t="n">
        <x:f>'Unit Economics'!R14</x:f>
        <x:v>14.41538</x:v>
      </x:c>
      <x:c r="AM14" s="50" t="n">
        <x:f>'Unit Economics'!V14</x:f>
        <x:v>43.434999999999995</x:v>
      </x:c>
      <x:c r="AN14" s="54" t="n">
        <x:f>'Unit Economics'!Y14</x:f>
        <x:v>0.5550580821917809</x:v>
      </x:c>
      <x:c r="AO14" s="48" t="n">
        <x:f>ROUND(H14*Assumptions!$B$39+I14*20*Assumptions!$B$40+J14*20*Assumptions!$B$41+K14*20*Assumptions!$B$42+L14*20*Assumptions!$B$43+(6-AC14)*20*Assumptions!$B$44,1)</x:f>
        <x:v>95.2</x:v>
      </x:c>
      <x:c r="AP14" s="46" t="str">
        <x:f>IF(OR(AC14&gt;=4,AD14="Yes",AE14="Yes",AF14="Complete electrical"),"Specialist / Hold",IF(AND(AO14&gt;=92,AH14="Ready",AC14&lt;=2),"Wave 1",IF(AO14&gt;=82,"Wave 2","Wave 3")))</x:f>
        <x:v>Wave 1</x:v>
      </x:c>
      <x:c r="AQ14" s="46" t="str">
        <x:v>S01; S04; S11; S16; S24</x:v>
      </x:c>
      <x:c r="AR14" s="46" t="str">
        <x:v>Selected</x:v>
      </x:c>
      <x:c r="AS14" s="46" t="str">
        <x:v>Automate QR validation and proof approval</x:v>
      </x:c>
      <x:c r="AT14" s="46" t="str"/>
    </x:row>
    <x:row r="15" ht="42" customHeight="1">
      <x:c r="A15" s="46" t="str">
        <x:v>SKU-014</x:v>
      </x:c>
      <x:c r="B15" s="46" t="str">
        <x:v>Personalized desk nameplate</x:v>
      </x:c>
      <x:c r="C15" s="46" t="str">
        <x:v>Personalized signs, house numbers &amp; event decor</x:v>
      </x:c>
      <x:c r="D15" s="46" t="n">
        <x:v>11</x:v>
      </x:c>
      <x:c r="E15" s="46" t="str">
        <x:v>Create a name/title plate sized to a desk or reception area.</x:v>
      </x:c>
      <x:c r="F15" s="46" t="str">
        <x:v>Professionals, teachers and gifts</x:v>
      </x:c>
      <x:c r="G15" s="46" t="str">
        <x:v>Personalized gifting and 2026 celebration/party-decor growth support made-to-order signage.</x:v>
      </x:c>
      <x:c r="H15" s="52" t="n">
        <x:v>84</x:v>
      </x:c>
      <x:c r="I15" s="52" t="n">
        <x:v>5</x:v>
      </x:c>
      <x:c r="J15" s="52" t="n">
        <x:v>5</x:v>
      </x:c>
      <x:c r="K15" s="52" t="n">
        <x:v>5</x:v>
      </x:c>
      <x:c r="L15" s="52" t="n">
        <x:v>5</x:v>
      </x:c>
      <x:c r="M15" s="52" t="n">
        <x:v>205</x:v>
      </x:c>
      <x:c r="N15" s="52" t="n">
        <x:v>65</x:v>
      </x:c>
      <x:c r="O15" s="52" t="n">
        <x:v>55</x:v>
      </x:c>
      <x:c r="P15" s="46" t="str">
        <x:v>M</x:v>
      </x:c>
      <x:c r="Q15" s="46" t="str">
        <x:v>Base + interchangeable text insert</x:v>
      </x:c>
      <x:c r="R15" s="46" t="str">
        <x:v>PLA</x:v>
      </x:c>
      <x:c r="S15" s="46" t="str">
        <x:v>Optional metal-look insert</x:v>
      </x:c>
      <x:c r="T15" s="46" t="str">
        <x:v>Core 250 mm</x:v>
      </x:c>
      <x:c r="U15" s="46" t="str">
        <x:v>No</x:v>
      </x:c>
      <x:c r="V15" s="46" t="str">
        <x:v>None</x:v>
      </x:c>
      <x:c r="W15" s="52" t="n">
        <x:v>1</x:v>
      </x:c>
      <x:c r="X15" s="46" t="str">
        <x:v>Name/title, font, colors, desk footprint</x:v>
      </x:c>
      <x:c r="Y15" s="46" t="str">
        <x:v>Text, base angle, icon, insert fit</x:v>
      </x:c>
      <x:c r="Z15" s="46" t="str">
        <x:v>Text legibility, tip stability, edge check</x:v>
      </x:c>
      <x:c r="AA15" s="46" t="str">
        <x:v>Indoor decorative use</x:v>
      </x:c>
      <x:c r="AB15" s="46" t="str">
        <x:v>GPSR standard consumer product</x:v>
      </x:c>
      <x:c r="AC15" s="52" t="n">
        <x:v>1</x:v>
      </x:c>
      <x:c r="AD15" s="46" t="str">
        <x:v>No</x:v>
      </x:c>
      <x:c r="AE15" s="46" t="str">
        <x:v>No</x:v>
      </x:c>
      <x:c r="AF15" s="46" t="str">
        <x:v>No</x:v>
      </x:c>
      <x:c r="AG15" s="46" t="str">
        <x:v>No</x:v>
      </x:c>
      <x:c r="AH15" s="46" t="str">
        <x:v>Ready</x:v>
      </x:c>
      <x:c r="AI15" s="46" t="str">
        <x:v>Own CAD; licensed fonts/icons</x:v>
      </x:c>
      <x:c r="AJ15" s="46" t="str">
        <x:v>No—own design; font rights tracked</x:v>
      </x:c>
      <x:c r="AK15" s="50" t="n">
        <x:v>7.9</x:v>
      </x:c>
      <x:c r="AL15" s="50" t="n">
        <x:f>'Unit Economics'!R15</x:f>
        <x:v>9.886520000000003</x:v>
      </x:c>
      <x:c r="AM15" s="50" t="n">
        <x:f>'Unit Economics'!V15</x:f>
        <x:v>29.75</x:v>
      </x:c>
      <x:c r="AN15" s="54" t="n">
        <x:f>'Unit Economics'!Y15</x:f>
        <x:v>0.5545391999999999</x:v>
      </x:c>
      <x:c r="AO15" s="48" t="n">
        <x:f>ROUND(H15*Assumptions!$B$39+I15*20*Assumptions!$B$40+J15*20*Assumptions!$B$41+K15*20*Assumptions!$B$42+L15*20*Assumptions!$B$43+(6-AC15)*20*Assumptions!$B$44,1)</x:f>
        <x:v>95.2</x:v>
      </x:c>
      <x:c r="AP15" s="46" t="str">
        <x:f>IF(OR(AC15&gt;=4,AD15="Yes",AE15="Yes",AF15="Complete electrical"),"Specialist / Hold",IF(AND(AO15&gt;=92,AH15="Ready",AC15&lt;=2),"Wave 1",IF(AO15&gt;=82,"Wave 2","Wave 3")))</x:f>
        <x:v>Wave 1</x:v>
      </x:c>
      <x:c r="AQ15" s="46" t="str">
        <x:v>S01; S04; S11; S16; S24</x:v>
      </x:c>
      <x:c r="AR15" s="46" t="str">
        <x:v>Selected</x:v>
      </x:c>
      <x:c r="AS15" s="46" t="str">
        <x:v>Create live text preview and approved fonts</x:v>
      </x:c>
      <x:c r="AT15" s="46" t="str"/>
    </x:row>
    <x:row r="16" ht="42" customHeight="1">
      <x:c r="A16" s="46" t="str">
        <x:v>SKU-015</x:v>
      </x:c>
      <x:c r="B16" s="46" t="str">
        <x:v>Mahjong tile sorting tray set</x:v>
      </x:c>
      <x:c r="C16" s="46" t="str">
        <x:v>Mahjong racks, pushers &amp; tile trays</x:v>
      </x:c>
      <x:c r="D16" s="46" t="n">
        <x:v>6</x:v>
      </x:c>
      <x:c r="E16" s="46" t="str">
        <x:v>Sort tiles before play in stackable trays sized to a tile set.</x:v>
      </x:c>
      <x:c r="F16" s="46" t="str">
        <x:v>Adult players and clubs</x:v>
      </x:c>
      <x:c r="G16" s="46" t="str">
        <x:v>Etsy Spring/Summer 2026 reports mahjong-rack searches up 228%.</x:v>
      </x:c>
      <x:c r="H16" s="52" t="n">
        <x:v>90</x:v>
      </x:c>
      <x:c r="I16" s="52" t="n">
        <x:v>5</x:v>
      </x:c>
      <x:c r="J16" s="52" t="n">
        <x:v>5</x:v>
      </x:c>
      <x:c r="K16" s="52" t="n">
        <x:v>5</x:v>
      </x:c>
      <x:c r="L16" s="52" t="n">
        <x:v>4</x:v>
      </x:c>
      <x:c r="M16" s="52" t="n">
        <x:v>230</x:v>
      </x:c>
      <x:c r="N16" s="52" t="n">
        <x:v>185</x:v>
      </x:c>
      <x:c r="O16" s="52" t="n">
        <x:v>28</x:v>
      </x:c>
      <x:c r="P16" s="46" t="str">
        <x:v>M</x:v>
      </x:c>
      <x:c r="Q16" s="46" t="str">
        <x:v>Four stackable trays</x:v>
      </x:c>
      <x:c r="R16" s="46" t="str">
        <x:v>PLA</x:v>
      </x:c>
      <x:c r="S16" s="46" t="str">
        <x:v>Optional labels</x:v>
      </x:c>
      <x:c r="T16" s="46" t="str">
        <x:v>Core 250 mm</x:v>
      </x:c>
      <x:c r="U16" s="46" t="str">
        <x:v>No</x:v>
      </x:c>
      <x:c r="V16" s="46" t="str">
        <x:v>None</x:v>
      </x:c>
      <x:c r="W16" s="52" t="n">
        <x:v>1</x:v>
      </x:c>
      <x:c r="X16" s="46" t="str">
        <x:v>Tile dimensions/count and tray footprint</x:v>
      </x:c>
      <x:c r="Y16" s="46" t="str">
        <x:v>Pocket grid, stack lock, handles, labels</x:v>
      </x:c>
      <x:c r="Z16" s="46" t="str">
        <x:v>Tile fit, stack stability, edge and carry test</x:v>
      </x:c>
      <x:c r="AA16" s="46" t="str">
        <x:v>Adult tabletop accessory</x:v>
      </x:c>
      <x:c r="AB16" s="46" t="str">
        <x:v>GPSR standard consumer product</x:v>
      </x:c>
      <x:c r="AC16" s="52" t="n">
        <x:v>1</x:v>
      </x:c>
      <x:c r="AD16" s="46" t="str">
        <x:v>No</x:v>
      </x:c>
      <x:c r="AE16" s="46" t="str">
        <x:v>Potential</x:v>
      </x:c>
      <x:c r="AF16" s="46" t="str">
        <x:v>No</x:v>
      </x:c>
      <x:c r="AG16" s="46" t="str">
        <x:v>No</x:v>
      </x:c>
      <x:c r="AH16" s="46" t="str">
        <x:v>Ready</x:v>
      </x:c>
      <x:c r="AI16" s="46" t="str">
        <x:v>Own parametric CAD</x:v>
      </x:c>
      <x:c r="AJ16" s="46" t="str">
        <x:v>No—own design</x:v>
      </x:c>
      <x:c r="AK16" s="50" t="n">
        <x:v>12.9</x:v>
      </x:c>
      <x:c r="AL16" s="50" t="n">
        <x:f>'Unit Economics'!R16</x:f>
        <x:v>30.503480000000003</x:v>
      </x:c>
      <x:c r="AM16" s="50" t="n">
        <x:f>'Unit Economics'!V16</x:f>
        <x:v>91.035</x:v>
      </x:c>
      <x:c r="AN16" s="54" t="n">
        <x:f>'Unit Economics'!Y16</x:f>
        <x:v>0.5512616993464051</x:v>
      </x:c>
      <x:c r="AO16" s="48" t="n">
        <x:f>ROUND(H16*Assumptions!$B$39+I16*20*Assumptions!$B$40+J16*20*Assumptions!$B$41+K16*20*Assumptions!$B$42+L16*20*Assumptions!$B$43+(6-AC16)*20*Assumptions!$B$44,1)</x:f>
        <x:v>95</x:v>
      </x:c>
      <x:c r="AP16" s="46" t="str">
        <x:f>IF(OR(AC16&gt;=4,AD16="Yes",AE16="Yes",AF16="Complete electrical"),"Specialist / Hold",IF(AND(AO16&gt;=92,AH16="Ready",AC16&lt;=2),"Wave 1",IF(AO16&gt;=82,"Wave 2","Wave 3")))</x:f>
        <x:v>Wave 1</x:v>
      </x:c>
      <x:c r="AQ16" s="46" t="str">
        <x:v>S01; S11; S16; S17</x:v>
      </x:c>
      <x:c r="AR16" s="46" t="str">
        <x:v>Selected</x:v>
      </x:c>
      <x:c r="AS16" s="46" t="str">
        <x:v>Pilot with two common tile sizes</x:v>
      </x:c>
      <x:c r="AT16" s="46" t="str"/>
    </x:row>
    <x:row r="17" ht="42" customHeight="1">
      <x:c r="A17" s="46" t="str">
        <x:v>SKU-016</x:v>
      </x:c>
      <x:c r="B17" s="46" t="str">
        <x:v>Travel mahjong rack segments</x:v>
      </x:c>
      <x:c r="C17" s="46" t="str">
        <x:v>Mahjong racks, pushers &amp; tile trays</x:v>
      </x:c>
      <x:c r="D17" s="46" t="n">
        <x:v>6</x:v>
      </x:c>
      <x:c r="E17" s="46" t="str">
        <x:v>Provide compact rack segments that pack flat and connect at the table.</x:v>
      </x:c>
      <x:c r="F17" s="46" t="str">
        <x:v>Traveling adult players</x:v>
      </x:c>
      <x:c r="G17" s="46" t="str">
        <x:v>Etsy Spring/Summer 2026 reports mahjong-rack searches up 228%.</x:v>
      </x:c>
      <x:c r="H17" s="52" t="n">
        <x:v>89</x:v>
      </x:c>
      <x:c r="I17" s="52" t="n">
        <x:v>5</x:v>
      </x:c>
      <x:c r="J17" s="52" t="n">
        <x:v>5</x:v>
      </x:c>
      <x:c r="K17" s="52" t="n">
        <x:v>5</x:v>
      </x:c>
      <x:c r="L17" s="52" t="n">
        <x:v>5</x:v>
      </x:c>
      <x:c r="M17" s="52" t="n">
        <x:v>195</x:v>
      </x:c>
      <x:c r="N17" s="52" t="n">
        <x:v>58</x:v>
      </x:c>
      <x:c r="O17" s="52" t="n">
        <x:v>35</x:v>
      </x:c>
      <x:c r="P17" s="46" t="str">
        <x:v>M</x:v>
      </x:c>
      <x:c r="Q17" s="46" t="str">
        <x:v>Flat-pack snap segments</x:v>
      </x:c>
      <x:c r="R17" s="46" t="str">
        <x:v>PETG</x:v>
      </x:c>
      <x:c r="S17" s="46" t="str">
        <x:v>None</x:v>
      </x:c>
      <x:c r="T17" s="46" t="str">
        <x:v>Core 250 mm</x:v>
      </x:c>
      <x:c r="U17" s="46" t="str">
        <x:v>No</x:v>
      </x:c>
      <x:c r="V17" s="46" t="str">
        <x:v>None</x:v>
      </x:c>
      <x:c r="W17" s="52" t="n">
        <x:v>2</x:v>
      </x:c>
      <x:c r="X17" s="46" t="str">
        <x:v>Tile dimensions, pack length, assembled length</x:v>
      </x:c>
      <x:c r="Y17" s="46" t="str">
        <x:v>Segment length, connector, groove, carry clip</x:v>
      </x:c>
      <x:c r="Z17" s="46" t="str">
        <x:v>Connector cycles, flatness, pack retention</x:v>
      </x:c>
      <x:c r="AA17" s="46" t="str">
        <x:v>Adult tabletop accessory; avoid small loose connectors</x:v>
      </x:c>
      <x:c r="AB17" s="46" t="str">
        <x:v>GPSR standard + joint validation</x:v>
      </x:c>
      <x:c r="AC17" s="52" t="n">
        <x:v>2</x:v>
      </x:c>
      <x:c r="AD17" s="46" t="str">
        <x:v>No</x:v>
      </x:c>
      <x:c r="AE17" s="46" t="str">
        <x:v>Potential</x:v>
      </x:c>
      <x:c r="AF17" s="46" t="str">
        <x:v>No</x:v>
      </x:c>
      <x:c r="AG17" s="46" t="str">
        <x:v>No</x:v>
      </x:c>
      <x:c r="AH17" s="46" t="str">
        <x:v>Ready</x:v>
      </x:c>
      <x:c r="AI17" s="46" t="str">
        <x:v>Own CAD</x:v>
      </x:c>
      <x:c r="AJ17" s="46" t="str">
        <x:v>No—own design</x:v>
      </x:c>
      <x:c r="AK17" s="50" t="n">
        <x:v>10.9</x:v>
      </x:c>
      <x:c r="AL17" s="50" t="n">
        <x:f>'Unit Economics'!R17</x:f>
        <x:v>24.5469</x:v>
      </x:c>
      <x:c r="AM17" s="50" t="n">
        <x:f>'Unit Economics'!V17</x:f>
        <x:v>73.185</x:v>
      </x:c>
      <x:c r="AN17" s="54" t="n">
        <x:f>'Unit Economics'!Y17</x:f>
        <x:v>0.5508634146341462</x:v>
      </x:c>
      <x:c r="AO17" s="48" t="n">
        <x:f>ROUND(H17*Assumptions!$B$39+I17*20*Assumptions!$B$40+J17*20*Assumptions!$B$41+K17*20*Assumptions!$B$42+L17*20*Assumptions!$B$43+(6-AC17)*20*Assumptions!$B$44,1)</x:f>
        <x:v>94.7</x:v>
      </x:c>
      <x:c r="AP17" s="46" t="str">
        <x:f>IF(OR(AC17&gt;=4,AD17="Yes",AE17="Yes",AF17="Complete electrical"),"Specialist / Hold",IF(AND(AO17&gt;=92,AH17="Ready",AC17&lt;=2),"Wave 1",IF(AO17&gt;=82,"Wave 2","Wave 3")))</x:f>
        <x:v>Wave 1</x:v>
      </x:c>
      <x:c r="AQ17" s="46" t="str">
        <x:v>S01; S11; S16; S17</x:v>
      </x:c>
      <x:c r="AR17" s="46" t="str">
        <x:v>Selected</x:v>
      </x:c>
      <x:c r="AS17" s="46" t="str">
        <x:v>Eliminate separate small connector parts</x:v>
      </x:c>
      <x:c r="AT17" s="46" t="str"/>
    </x:row>
    <x:row r="18" ht="42" customHeight="1">
      <x:c r="A18" s="46" t="str">
        <x:v>SKU-017</x:v>
      </x:c>
      <x:c r="B18" s="46" t="str">
        <x:v>Fold-flat travel phone stand</x:v>
      </x:c>
      <x:c r="C18" s="46" t="str">
        <x:v>Phone/tablet stands &amp; passive docks</x:v>
      </x:c>
      <x:c r="D18" s="46" t="n">
        <x:v>3</x:v>
      </x:c>
      <x:c r="E18" s="46" t="str">
        <x:v>Provide a pocket-size stand that folds or snaps flat for travel.</x:v>
      </x:c>
      <x:c r="F18" s="46" t="str">
        <x:v>Travelers and mobile workers</x:v>
      </x:c>
      <x:c r="G18" s="46" t="str">
        <x:v>Persistent tech-accessory demand; passive stands are easy to personalize without adding electronics compliance.</x:v>
      </x:c>
      <x:c r="H18" s="52" t="n">
        <x:v>91</x:v>
      </x:c>
      <x:c r="I18" s="52" t="n">
        <x:v>5</x:v>
      </x:c>
      <x:c r="J18" s="52" t="n">
        <x:v>4</x:v>
      </x:c>
      <x:c r="K18" s="52" t="n">
        <x:v>5</x:v>
      </x:c>
      <x:c r="L18" s="52" t="n">
        <x:v>5</x:v>
      </x:c>
      <x:c r="M18" s="52" t="n">
        <x:v>115</x:v>
      </x:c>
      <x:c r="N18" s="52" t="n">
        <x:v>75</x:v>
      </x:c>
      <x:c r="O18" s="52" t="n">
        <x:v>14</x:v>
      </x:c>
      <x:c r="P18" s="46" t="str">
        <x:v>S</x:v>
      </x:c>
      <x:c r="Q18" s="46" t="str">
        <x:v>Two flat interlocking parts</x:v>
      </x:c>
      <x:c r="R18" s="46" t="str">
        <x:v>PETG</x:v>
      </x:c>
      <x:c r="S18" s="46" t="str">
        <x:v>None</x:v>
      </x:c>
      <x:c r="T18" s="46" t="str">
        <x:v>Core 250 mm</x:v>
      </x:c>
      <x:c r="U18" s="46" t="str">
        <x:v>No</x:v>
      </x:c>
      <x:c r="V18" s="46" t="str">
        <x:v>None</x:v>
      </x:c>
      <x:c r="W18" s="52" t="n">
        <x:v>1</x:v>
      </x:c>
      <x:c r="X18" s="46" t="str">
        <x:v>Phone thickness and desired orientations</x:v>
      </x:c>
      <x:c r="Y18" s="46" t="str">
        <x:v>Slot width, angle, keychain hole, text</x:v>
      </x:c>
      <x:c r="Z18" s="46" t="str">
        <x:v>Assembly cycles, pocket-edge check, stability</x:v>
      </x:c>
      <x:c r="AA18" s="46" t="str">
        <x:v>Passive stand; not for use in moving vehicles</x:v>
      </x:c>
      <x:c r="AB18" s="46" t="str">
        <x:v>GPSR standard consumer product</x:v>
      </x:c>
      <x:c r="AC18" s="52" t="n">
        <x:v>1</x:v>
      </x:c>
      <x:c r="AD18" s="46" t="str">
        <x:v>No</x:v>
      </x:c>
      <x:c r="AE18" s="46" t="str">
        <x:v>No</x:v>
      </x:c>
      <x:c r="AF18" s="46" t="str">
        <x:v>Accessory only</x:v>
      </x:c>
      <x:c r="AG18" s="46" t="str">
        <x:v>No</x:v>
      </x:c>
      <x:c r="AH18" s="46" t="str">
        <x:v>Ready</x:v>
      </x:c>
      <x:c r="AI18" s="46" t="str">
        <x:v>Own parametric CAD</x:v>
      </x:c>
      <x:c r="AJ18" s="46" t="str">
        <x:v>No—own design</x:v>
      </x:c>
      <x:c r="AK18" s="50" t="n">
        <x:v>4.9</x:v>
      </x:c>
      <x:c r="AL18" s="50" t="n">
        <x:f>'Unit Economics'!R18</x:f>
        <x:v>6.911380000000001</x:v>
      </x:c>
      <x:c r="AM18" s="50" t="n">
        <x:f>'Unit Economics'!V18</x:f>
        <x:v>20.825</x:v>
      </x:c>
      <x:c r="AN18" s="54" t="n">
        <x:f>'Unit Economics'!Y18</x:f>
        <x:v>0.5550639999999999</x:v>
      </x:c>
      <x:c r="AO18" s="48" t="n">
        <x:f>ROUND(H18*Assumptions!$B$39+I18*20*Assumptions!$B$40+J18*20*Assumptions!$B$41+K18*20*Assumptions!$B$42+L18*20*Assumptions!$B$43+(6-AC18)*20*Assumptions!$B$44,1)</x:f>
        <x:v>94.3</x:v>
      </x:c>
      <x:c r="AP18" s="46" t="str">
        <x:f>IF(OR(AC18&gt;=4,AD18="Yes",AE18="Yes",AF18="Complete electrical"),"Specialist / Hold",IF(AND(AO18&gt;=92,AH18="Ready",AC18&lt;=2),"Wave 1",IF(AO18&gt;=82,"Wave 2","Wave 3")))</x:f>
        <x:v>Wave 1</x:v>
      </x:c>
      <x:c r="AQ18" s="46" t="str">
        <x:v>S03; S05; S09; S11; S19</x:v>
      </x:c>
      <x:c r="AR18" s="46" t="str">
        <x:v>Selected</x:v>
      </x:c>
      <x:c r="AS18" s="46" t="str">
        <x:v>Optimize one-click variants for common case thicknesses</x:v>
      </x:c>
      <x:c r="AT18" s="46" t="str"/>
    </x:row>
    <x:row r="19" ht="42" customHeight="1">
      <x:c r="A19" s="46" t="str">
        <x:v>SKU-018</x:v>
      </x:c>
      <x:c r="B19" s="46" t="str">
        <x:v>Personalized pen and stationery caddy</x:v>
      </x:c>
      <x:c r="C19" s="46" t="str">
        <x:v>Custom desk &amp; drawer organizers</x:v>
      </x:c>
      <x:c r="D19" s="46" t="n">
        <x:v>1</x:v>
      </x:c>
      <x:c r="E19" s="46" t="str">
        <x:v>Organize pens, scissors, notes and phone in one personalized caddy.</x:v>
      </x:c>
      <x:c r="F19" s="46" t="str">
        <x:v>Students, teachers, home-office gifting</x:v>
      </x:c>
      <x:c r="G19" s="46" t="str">
        <x:v>Home-office refresh and organization demand; exact-fit customization creates clear additive advantage.</x:v>
      </x:c>
      <x:c r="H19" s="52" t="n">
        <x:v>94</x:v>
      </x:c>
      <x:c r="I19" s="52" t="n">
        <x:v>4</x:v>
      </x:c>
      <x:c r="J19" s="52" t="n">
        <x:v>5</x:v>
      </x:c>
      <x:c r="K19" s="52" t="n">
        <x:v>5</x:v>
      </x:c>
      <x:c r="L19" s="52" t="n">
        <x:v>5</x:v>
      </x:c>
      <x:c r="M19" s="52" t="n">
        <x:v>150</x:v>
      </x:c>
      <x:c r="N19" s="52" t="n">
        <x:v>120</x:v>
      </x:c>
      <x:c r="O19" s="52" t="n">
        <x:v>130</x:v>
      </x:c>
      <x:c r="P19" s="46" t="str">
        <x:v>M</x:v>
      </x:c>
      <x:c r="Q19" s="46" t="str">
        <x:v>Single part or two-color insert</x:v>
      </x:c>
      <x:c r="R19" s="46" t="str">
        <x:v>PLA</x:v>
      </x:c>
      <x:c r="S19" s="46" t="str">
        <x:v>Optional felt feet</x:v>
      </x:c>
      <x:c r="T19" s="46" t="str">
        <x:v>Core 250 mm</x:v>
      </x:c>
      <x:c r="U19" s="46" t="str">
        <x:v>No</x:v>
      </x:c>
      <x:c r="V19" s="46" t="str">
        <x:v>None</x:v>
      </x:c>
      <x:c r="W19" s="52" t="n">
        <x:v>1</x:v>
      </x:c>
      <x:c r="X19" s="46" t="str">
        <x:v>Item count, name/text, preferred compartments</x:v>
      </x:c>
      <x:c r="Y19" s="46" t="str">
        <x:v>Compartment diameters, name plate, phone slot</x:v>
      </x:c>
      <x:c r="Z19" s="46" t="str">
        <x:v>Sharp-edge check, stability, tall-item tip test</x:v>
      </x:c>
      <x:c r="AA19" s="46" t="str">
        <x:v>Indoor dry use; adult stationery organizer</x:v>
      </x:c>
      <x:c r="AB19" s="46" t="str">
        <x:v>GPSR standard consumer product</x:v>
      </x:c>
      <x:c r="AC19" s="52" t="n">
        <x:v>1</x:v>
      </x:c>
      <x:c r="AD19" s="46" t="str">
        <x:v>No</x:v>
      </x:c>
      <x:c r="AE19" s="46" t="str">
        <x:v>Potential</x:v>
      </x:c>
      <x:c r="AF19" s="46" t="str">
        <x:v>No</x:v>
      </x:c>
      <x:c r="AG19" s="46" t="str">
        <x:v>No</x:v>
      </x:c>
      <x:c r="AH19" s="46" t="str">
        <x:v>Ready</x:v>
      </x:c>
      <x:c r="AI19" s="46" t="str">
        <x:v>Own CAD; licensed font library</x:v>
      </x:c>
      <x:c r="AJ19" s="46" t="str">
        <x:v>No—own design; font rights tracked</x:v>
      </x:c>
      <x:c r="AK19" s="50" t="n">
        <x:v>8.9</x:v>
      </x:c>
      <x:c r="AL19" s="50" t="n">
        <x:f>'Unit Economics'!R19</x:f>
        <x:v>13.989080000000001</x:v>
      </x:c>
      <x:c r="AM19" s="50" t="n">
        <x:f>'Unit Economics'!V19</x:f>
        <x:v>41.65</x:v>
      </x:c>
      <x:c r="AN19" s="54" t="n">
        <x:f>'Unit Economics'!Y19</x:f>
        <x:v>0.5503119999999999</x:v>
      </x:c>
      <x:c r="AO19" s="48" t="n">
        <x:f>ROUND(H19*Assumptions!$B$39+I19*20*Assumptions!$B$40+J19*20*Assumptions!$B$41+K19*20*Assumptions!$B$42+L19*20*Assumptions!$B$43+(6-AC19)*20*Assumptions!$B$44,1)</x:f>
        <x:v>94.2</x:v>
      </x:c>
      <x:c r="AP19" s="46" t="str">
        <x:f>IF(OR(AC19&gt;=4,AD19="Yes",AE19="Yes",AF19="Complete electrical"),"Specialist / Hold",IF(AND(AO19&gt;=92,AH19="Ready",AC19&lt;=2),"Wave 1",IF(AO19&gt;=82,"Wave 2","Wave 3")))</x:f>
        <x:v>Wave 1</x:v>
      </x:c>
      <x:c r="AQ19" s="46" t="str">
        <x:v>S05; S06; S11; S19</x:v>
      </x:c>
      <x:c r="AR19" s="46" t="str">
        <x:v>Selected</x:v>
      </x:c>
      <x:c r="AS19" s="46" t="str">
        <x:v>Create font-safe personalization workflow</x:v>
      </x:c>
      <x:c r="AT19" s="46" t="str"/>
    </x:row>
    <x:row r="20" ht="42" customHeight="1">
      <x:c r="A20" s="46" t="str">
        <x:v>SKU-019</x:v>
      </x:c>
      <x:c r="B20" s="46" t="str">
        <x:v>Dry sculptural statement vase</x:v>
      </x:c>
      <x:c r="C20" s="46" t="str">
        <x:v>Vases &amp; sculptural containers</x:v>
      </x:c>
      <x:c r="D20" s="46" t="n">
        <x:v>8</x:v>
      </x:c>
      <x:c r="E20" s="46" t="str">
        <x:v>Create a distinctive made-to-order decorative vessel with chosen texture and proportions.</x:v>
      </x:c>
      <x:c r="F20" s="46" t="str">
        <x:v>Home decor and gifting</x:v>
      </x:c>
      <x:c r="G20" s="46" t="str">
        <x:v>2026 decor signals favor sculptural silhouettes, visible texture and personalized interiors.</x:v>
      </x:c>
      <x:c r="H20" s="52" t="n">
        <x:v>87</x:v>
      </x:c>
      <x:c r="I20" s="52" t="n">
        <x:v>5</x:v>
      </x:c>
      <x:c r="J20" s="52" t="n">
        <x:v>5</x:v>
      </x:c>
      <x:c r="K20" s="52" t="n">
        <x:v>5</x:v>
      </x:c>
      <x:c r="L20" s="52" t="n">
        <x:v>4</x:v>
      </x:c>
      <x:c r="M20" s="52" t="n">
        <x:v>225</x:v>
      </x:c>
      <x:c r="N20" s="52" t="n">
        <x:v>225</x:v>
      </x:c>
      <x:c r="O20" s="52" t="n">
        <x:v>240</x:v>
      </x:c>
      <x:c r="P20" s="46" t="str">
        <x:v>M</x:v>
      </x:c>
      <x:c r="Q20" s="46" t="str">
        <x:v>Single shell</x:v>
      </x:c>
      <x:c r="R20" s="46" t="str">
        <x:v>PLA</x:v>
      </x:c>
      <x:c r="S20" s="46" t="str">
        <x:v>Optional weighted base insert</x:v>
      </x:c>
      <x:c r="T20" s="46" t="str">
        <x:v>Core 250 mm</x:v>
      </x:c>
      <x:c r="U20" s="46" t="str">
        <x:v>No</x:v>
      </x:c>
      <x:c r="V20" s="46" t="str">
        <x:v>None</x:v>
      </x:c>
      <x:c r="W20" s="52" t="n">
        <x:v>2</x:v>
      </x:c>
      <x:c r="X20" s="46" t="str">
        <x:v>Height/footprint, style, color, dry-use confirmation</x:v>
      </x:c>
      <x:c r="Y20" s="46" t="str">
        <x:v>Profile, texture, opening, base thickness</x:v>
      </x:c>
      <x:c r="Z20" s="46" t="str">
        <x:v>Tip stability, sharp-edge and surface inspection</x:v>
      </x:c>
      <x:c r="AA20" s="46" t="str">
        <x:v>Decorative dry vase only unless used with a separate liner</x:v>
      </x:c>
      <x:c r="AB20" s="46" t="str">
        <x:v>GPSR standard consumer product</x:v>
      </x:c>
      <x:c r="AC20" s="52" t="n">
        <x:v>1</x:v>
      </x:c>
      <x:c r="AD20" s="46" t="str">
        <x:v>No</x:v>
      </x:c>
      <x:c r="AE20" s="46" t="str">
        <x:v>No</x:v>
      </x:c>
      <x:c r="AF20" s="46" t="str">
        <x:v>No</x:v>
      </x:c>
      <x:c r="AG20" s="46" t="str">
        <x:v>No</x:v>
      </x:c>
      <x:c r="AH20" s="46" t="str">
        <x:v>Ready</x:v>
      </x:c>
      <x:c r="AI20" s="46" t="str">
        <x:v>Own generative/parametric design</x:v>
      </x:c>
      <x:c r="AJ20" s="46" t="str">
        <x:v>No—own design</x:v>
      </x:c>
      <x:c r="AK20" s="50" t="n">
        <x:v>11.9</x:v>
      </x:c>
      <x:c r="AL20" s="50" t="n">
        <x:f>'Unit Economics'!R20</x:f>
        <x:v>22.452429999999996</x:v>
      </x:c>
      <x:c r="AM20" s="50" t="n">
        <x:f>'Unit Economics'!V20</x:f>
        <x:v>67.235</x:v>
      </x:c>
      <x:c r="AN20" s="54" t="n">
        <x:f>'Unit Economics'!Y20</x:f>
        <x:v>0.5526118584070798</x:v>
      </x:c>
      <x:c r="AO20" s="48" t="n">
        <x:f>ROUND(H20*Assumptions!$B$39+I20*20*Assumptions!$B$40+J20*20*Assumptions!$B$41+K20*20*Assumptions!$B$42+L20*20*Assumptions!$B$43+(6-AC20)*20*Assumptions!$B$44,1)</x:f>
        <x:v>94.1</x:v>
      </x:c>
      <x:c r="AP20" s="46" t="str">
        <x:f>IF(OR(AC20&gt;=4,AD20="Yes",AE20="Yes",AF20="Complete electrical"),"Specialist / Hold",IF(AND(AO20&gt;=92,AH20="Ready",AC20&lt;=2),"Wave 1",IF(AO20&gt;=82,"Wave 2","Wave 3")))</x:f>
        <x:v>Wave 1</x:v>
      </x:c>
      <x:c r="AQ20" s="46" t="str">
        <x:v>S02; S03; S11; S19</x:v>
      </x:c>
      <x:c r="AR20" s="46" t="str">
        <x:v>Selected</x:v>
      </x:c>
      <x:c r="AS20" s="46" t="str">
        <x:v>Create three signature texture families</x:v>
      </x:c>
      <x:c r="AT20" s="46" t="str"/>
    </x:row>
    <x:row r="21" ht="42" customHeight="1">
      <x:c r="A21" s="46" t="str">
        <x:v>SKU-020</x:v>
      </x:c>
      <x:c r="B21" s="46" t="str">
        <x:v>Dual game-controller stand</x:v>
      </x:c>
      <x:c r="C21" s="46" t="str">
        <x:v>Headphone, controller &amp; VR stands</x:v>
      </x:c>
      <x:c r="D21" s="46" t="n">
        <x:v>9</x:v>
      </x:c>
      <x:c r="E21" s="46" t="str">
        <x:v>Display and store two controllers in a compact custom arrangement.</x:v>
      </x:c>
      <x:c r="F21" s="46" t="str">
        <x:v>Console gamers and gifts</x:v>
      </x:c>
      <x:c r="G21" s="46" t="str">
        <x:v>Home-office and gaming setup personalization continues to support functional desk accessories.</x:v>
      </x:c>
      <x:c r="H21" s="52" t="n">
        <x:v>86</x:v>
      </x:c>
      <x:c r="I21" s="52" t="n">
        <x:v>5</x:v>
      </x:c>
      <x:c r="J21" s="52" t="n">
        <x:v>5</x:v>
      </x:c>
      <x:c r="K21" s="52" t="n">
        <x:v>5</x:v>
      </x:c>
      <x:c r="L21" s="52" t="n">
        <x:v>4</x:v>
      </x:c>
      <x:c r="M21" s="52" t="n">
        <x:v>205</x:v>
      </x:c>
      <x:c r="N21" s="52" t="n">
        <x:v>180</x:v>
      </x:c>
      <x:c r="O21" s="52" t="n">
        <x:v>185</x:v>
      </x:c>
      <x:c r="P21" s="46" t="str">
        <x:v>M</x:v>
      </x:c>
      <x:c r="Q21" s="46" t="str">
        <x:v>Base + two removable cradles</x:v>
      </x:c>
      <x:c r="R21" s="46" t="str">
        <x:v>PETG</x:v>
      </x:c>
      <x:c r="S21" s="46" t="str">
        <x:v>TPU pads</x:v>
      </x:c>
      <x:c r="T21" s="46" t="str">
        <x:v>Core 250 mm</x:v>
      </x:c>
      <x:c r="U21" s="46" t="str">
        <x:v>No</x:v>
      </x:c>
      <x:c r="V21" s="46" t="str">
        <x:v>None</x:v>
      </x:c>
      <x:c r="W21" s="52" t="n">
        <x:v>2</x:v>
      </x:c>
      <x:c r="X21" s="46" t="str">
        <x:v>Controller models, orientation, desk footprint</x:v>
      </x:c>
      <x:c r="Y21" s="46" t="str">
        <x:v>Cradle geometry, spacing, cable path, text</x:v>
      </x:c>
      <x:c r="Z21" s="46" t="str">
        <x:v>Controller fit, tip test, button/trigger clearance</x:v>
      </x:c>
      <x:c r="AA21" s="46" t="str">
        <x:v>Passive stand; compatibility names descriptive only</x:v>
      </x:c>
      <x:c r="AB21" s="46" t="str">
        <x:v>GPSR + stability/fit validation</x:v>
      </x:c>
      <x:c r="AC21" s="52" t="n">
        <x:v>1</x:v>
      </x:c>
      <x:c r="AD21" s="46" t="str">
        <x:v>No</x:v>
      </x:c>
      <x:c r="AE21" s="46" t="str">
        <x:v>Potential</x:v>
      </x:c>
      <x:c r="AF21" s="46" t="str">
        <x:v>Accessory only</x:v>
      </x:c>
      <x:c r="AG21" s="46" t="str">
        <x:v>No</x:v>
      </x:c>
      <x:c r="AH21" s="46" t="str">
        <x:v>Ready</x:v>
      </x:c>
      <x:c r="AI21" s="46" t="str">
        <x:v>Own CAD; trademark compatibility wording</x:v>
      </x:c>
      <x:c r="AJ21" s="46" t="str">
        <x:v>No—own design</x:v>
      </x:c>
      <x:c r="AK21" s="50" t="n">
        <x:v>11.9</x:v>
      </x:c>
      <x:c r="AL21" s="50" t="n">
        <x:f>'Unit Economics'!R21</x:f>
        <x:v>24.016579999999998</x:v>
      </x:c>
      <x:c r="AM21" s="50" t="n">
        <x:f>'Unit Economics'!V21</x:f>
        <x:v>71.99499999999999</x:v>
      </x:c>
      <x:c r="AN21" s="54" t="n">
        <x:f>'Unit Economics'!Y21</x:f>
        <x:v>0.5530317355371901</x:v>
      </x:c>
      <x:c r="AO21" s="48" t="n">
        <x:f>ROUND(H21*Assumptions!$B$39+I21*20*Assumptions!$B$40+J21*20*Assumptions!$B$41+K21*20*Assumptions!$B$42+L21*20*Assumptions!$B$43+(6-AC21)*20*Assumptions!$B$44,1)</x:f>
        <x:v>93.8</x:v>
      </x:c>
      <x:c r="AP21" s="46" t="str">
        <x:f>IF(OR(AC21&gt;=4,AD21="Yes",AE21="Yes",AF21="Complete electrical"),"Specialist / Hold",IF(AND(AO21&gt;=92,AH21="Ready",AC21&lt;=2),"Wave 1",IF(AO21&gt;=82,"Wave 2","Wave 3")))</x:f>
        <x:v>Wave 1</x:v>
      </x:c>
      <x:c r="AQ21" s="46" t="str">
        <x:v>S05; S11; S19</x:v>
      </x:c>
      <x:c r="AR21" s="46" t="str">
        <x:v>Selected</x:v>
      </x:c>
      <x:c r="AS21" s="46" t="str">
        <x:v>Create scan-based cradle library</x:v>
      </x:c>
      <x:c r="AT21" s="46" t="str"/>
    </x:row>
    <x:row r="22" ht="42" customHeight="1">
      <x:c r="A22" s="46" t="str">
        <x:v>SKU-021</x:v>
      </x:c>
      <x:c r="B22" s="46" t="str">
        <x:v>Freestanding headphone stand</x:v>
      </x:c>
      <x:c r="C22" s="46" t="str">
        <x:v>Headphone, controller &amp; VR stands</x:v>
      </x:c>
      <x:c r="D22" s="46" t="n">
        <x:v>9</x:v>
      </x:c>
      <x:c r="E22" s="46" t="str">
        <x:v>Support a specific headband shape without creating pressure points.</x:v>
      </x:c>
      <x:c r="F22" s="46" t="str">
        <x:v>Music listeners, gamers and home offices</x:v>
      </x:c>
      <x:c r="G22" s="46" t="str">
        <x:v>Home-office and gaming setup personalization continues to support functional desk accessories.</x:v>
      </x:c>
      <x:c r="H22" s="52" t="n">
        <x:v>86</x:v>
      </x:c>
      <x:c r="I22" s="52" t="n">
        <x:v>5</x:v>
      </x:c>
      <x:c r="J22" s="52" t="n">
        <x:v>5</x:v>
      </x:c>
      <x:c r="K22" s="52" t="n">
        <x:v>5</x:v>
      </x:c>
      <x:c r="L22" s="52" t="n">
        <x:v>4</x:v>
      </x:c>
      <x:c r="M22" s="52" t="n">
        <x:v>220</x:v>
      </x:c>
      <x:c r="N22" s="52" t="n">
        <x:v>155</x:v>
      </x:c>
      <x:c r="O22" s="52" t="n">
        <x:v>240</x:v>
      </x:c>
      <x:c r="P22" s="46" t="str">
        <x:v>M</x:v>
      </x:c>
      <x:c r="Q22" s="46" t="str">
        <x:v>Single stand or base + stem</x:v>
      </x:c>
      <x:c r="R22" s="46" t="str">
        <x:v>PLA</x:v>
      </x:c>
      <x:c r="S22" s="46" t="str">
        <x:v>TPU headband pad and feet</x:v>
      </x:c>
      <x:c r="T22" s="46" t="str">
        <x:v>Core 250 mm</x:v>
      </x:c>
      <x:c r="U22" s="46" t="str">
        <x:v>No</x:v>
      </x:c>
      <x:c r="V22" s="46" t="str">
        <x:v>None</x:v>
      </x:c>
      <x:c r="W22" s="52" t="n">
        <x:v>2</x:v>
      </x:c>
      <x:c r="X22" s="46" t="str">
        <x:v>Headphone band width/curve, desk footprint, personalization</x:v>
      </x:c>
      <x:c r="Y22" s="46" t="str">
        <x:v>Rest profile, height, base, cable notch</x:v>
      </x:c>
      <x:c r="Z22" s="46" t="str">
        <x:v>Tip test, headband contact and long-term creep check</x:v>
      </x:c>
      <x:c r="AA22" s="46" t="str">
        <x:v>Passive display stand; no charging electronics</x:v>
      </x:c>
      <x:c r="AB22" s="46" t="str">
        <x:v>GPSR + stability validation</x:v>
      </x:c>
      <x:c r="AC22" s="52" t="n">
        <x:v>1</x:v>
      </x:c>
      <x:c r="AD22" s="46" t="str">
        <x:v>No</x:v>
      </x:c>
      <x:c r="AE22" s="46" t="str">
        <x:v>No</x:v>
      </x:c>
      <x:c r="AF22" s="46" t="str">
        <x:v>Accessory only</x:v>
      </x:c>
      <x:c r="AG22" s="46" t="str">
        <x:v>No</x:v>
      </x:c>
      <x:c r="AH22" s="46" t="str">
        <x:v>Ready</x:v>
      </x:c>
      <x:c r="AI22" s="46" t="str">
        <x:v>Own parametric CAD</x:v>
      </x:c>
      <x:c r="AJ22" s="46" t="str">
        <x:v>No—own design</x:v>
      </x:c>
      <x:c r="AK22" s="50" t="n">
        <x:v>10.9</x:v>
      </x:c>
      <x:c r="AL22" s="50" t="n">
        <x:f>'Unit Economics'!R22</x:f>
        <x:v>20.478569999999998</x:v>
      </x:c>
      <x:c r="AM22" s="50" t="n">
        <x:f>'Unit Economics'!V22</x:f>
        <x:v>61.285</x:v>
      </x:c>
      <x:c r="AN22" s="54" t="n">
        <x:f>'Unit Economics'!Y22</x:f>
        <x:v>0.55235786407767</x:v>
      </x:c>
      <x:c r="AO22" s="48" t="n">
        <x:f>ROUND(H22*Assumptions!$B$39+I22*20*Assumptions!$B$40+J22*20*Assumptions!$B$41+K22*20*Assumptions!$B$42+L22*20*Assumptions!$B$43+(6-AC22)*20*Assumptions!$B$44,1)</x:f>
        <x:v>93.8</x:v>
      </x:c>
      <x:c r="AP22" s="46" t="str">
        <x:f>IF(OR(AC22&gt;=4,AD22="Yes",AE22="Yes",AF22="Complete electrical"),"Specialist / Hold",IF(AND(AO22&gt;=92,AH22="Ready",AC22&lt;=2),"Wave 1",IF(AO22&gt;=82,"Wave 2","Wave 3")))</x:f>
        <x:v>Wave 1</x:v>
      </x:c>
      <x:c r="AQ22" s="46" t="str">
        <x:v>S05; S11; S19</x:v>
      </x:c>
      <x:c r="AR22" s="46" t="str">
        <x:v>Selected</x:v>
      </x:c>
      <x:c r="AS22" s="46" t="str">
        <x:v>Build fit presets for five common headband styles</x:v>
      </x:c>
      <x:c r="AT22" s="46" t="str"/>
    </x:row>
    <x:row r="23" ht="42" customHeight="1">
      <x:c r="A23" s="46" t="str">
        <x:v>SKU-022</x:v>
      </x:c>
      <x:c r="B23" s="46" t="str">
        <x:v>Large tablet display stand</x:v>
      </x:c>
      <x:c r="C23" s="46" t="str">
        <x:v>Phone/tablet stands &amp; passive docks</x:v>
      </x:c>
      <x:c r="D23" s="46" t="n">
        <x:v>3</x:v>
      </x:c>
      <x:c r="E23" s="46" t="str">
        <x:v>Support a tablet for recipes, video calls or media at a comfortable angle.</x:v>
      </x:c>
      <x:c r="F23" s="46" t="str">
        <x:v>Home cooks, families, remote workers</x:v>
      </x:c>
      <x:c r="G23" s="46" t="str">
        <x:v>Persistent tech-accessory demand; passive stands are easy to personalize without adding electronics compliance.</x:v>
      </x:c>
      <x:c r="H23" s="52" t="n">
        <x:v>92</x:v>
      </x:c>
      <x:c r="I23" s="52" t="n">
        <x:v>5</x:v>
      </x:c>
      <x:c r="J23" s="52" t="n">
        <x:v>5</x:v>
      </x:c>
      <x:c r="K23" s="52" t="n">
        <x:v>5</x:v>
      </x:c>
      <x:c r="L23" s="52" t="n">
        <x:v>4</x:v>
      </x:c>
      <x:c r="M23" s="52" t="n">
        <x:v>190</x:v>
      </x:c>
      <x:c r="N23" s="52" t="n">
        <x:v>170</x:v>
      </x:c>
      <x:c r="O23" s="52" t="n">
        <x:v>170</x:v>
      </x:c>
      <x:c r="P23" s="46" t="str">
        <x:v>M</x:v>
      </x:c>
      <x:c r="Q23" s="46" t="str">
        <x:v>Single or two-part stand</x:v>
      </x:c>
      <x:c r="R23" s="46" t="str">
        <x:v>PETG</x:v>
      </x:c>
      <x:c r="S23" s="46" t="str">
        <x:v>TPU feet</x:v>
      </x:c>
      <x:c r="T23" s="46" t="str">
        <x:v>Core 250 mm</x:v>
      </x:c>
      <x:c r="U23" s="46" t="str">
        <x:v>No</x:v>
      </x:c>
      <x:c r="V23" s="46" t="str">
        <x:v>None</x:v>
      </x:c>
      <x:c r="W23" s="52" t="n">
        <x:v>2</x:v>
      </x:c>
      <x:c r="X23" s="46" t="str">
        <x:v>Tablet dimensions, case thickness, orientation and angle</x:v>
      </x:c>
      <x:c r="Y23" s="46" t="str">
        <x:v>Shelf depth, angle, center of gravity, cable route</x:v>
      </x:c>
      <x:c r="Z23" s="46" t="str">
        <x:v>Tip-over test in portrait/landscape, load creep check</x:v>
      </x:c>
      <x:c r="AA23" s="46" t="str">
        <x:v>Keep away from hot cooking surfaces and liquids</x:v>
      </x:c>
      <x:c r="AB23" s="46" t="str">
        <x:v>GPSR + stability validation</x:v>
      </x:c>
      <x:c r="AC23" s="52" t="n">
        <x:v>2</x:v>
      </x:c>
      <x:c r="AD23" s="46" t="str">
        <x:v>No</x:v>
      </x:c>
      <x:c r="AE23" s="46" t="str">
        <x:v>Potential</x:v>
      </x:c>
      <x:c r="AF23" s="46" t="str">
        <x:v>Accessory only</x:v>
      </x:c>
      <x:c r="AG23" s="46" t="str">
        <x:v>Light duty</x:v>
      </x:c>
      <x:c r="AH23" s="46" t="str">
        <x:v>Ready</x:v>
      </x:c>
      <x:c r="AI23" s="46" t="str">
        <x:v>Own parametric CAD</x:v>
      </x:c>
      <x:c r="AJ23" s="46" t="str">
        <x:v>No—own design</x:v>
      </x:c>
      <x:c r="AK23" s="50" t="n">
        <x:v>10.9</x:v>
      </x:c>
      <x:c r="AL23" s="50" t="n">
        <x:f>'Unit Economics'!R23</x:f>
        <x:v>20.4477</x:v>
      </x:c>
      <x:c r="AM23" s="50" t="n">
        <x:f>'Unit Economics'!V23</x:f>
        <x:v>61.285</x:v>
      </x:c>
      <x:c r="AN23" s="54" t="n">
        <x:f>'Unit Economics'!Y23</x:f>
        <x:v>0.5529572815533981</x:v>
      </x:c>
      <x:c r="AO23" s="48" t="n">
        <x:f>ROUND(H23*Assumptions!$B$39+I23*20*Assumptions!$B$40+J23*20*Assumptions!$B$41+K23*20*Assumptions!$B$42+L23*20*Assumptions!$B$43+(6-AC23)*20*Assumptions!$B$44,1)</x:f>
        <x:v>93.6</x:v>
      </x:c>
      <x:c r="AP23" s="46" t="str">
        <x:f>IF(OR(AC23&gt;=4,AD23="Yes",AE23="Yes",AF23="Complete electrical"),"Specialist / Hold",IF(AND(AO23&gt;=92,AH23="Ready",AC23&lt;=2),"Wave 1",IF(AO23&gt;=82,"Wave 2","Wave 3")))</x:f>
        <x:v>Wave 1</x:v>
      </x:c>
      <x:c r="AQ23" s="46" t="str">
        <x:v>S03; S05; S09; S11; S19</x:v>
      </x:c>
      <x:c r="AR23" s="46" t="str">
        <x:v>Selected</x:v>
      </x:c>
      <x:c r="AS23" s="46" t="str">
        <x:v>Validate largest supported tablet and case</x:v>
      </x:c>
      <x:c r="AT23" s="46" t="str"/>
    </x:row>
    <x:row r="24" ht="42" customHeight="1">
      <x:c r="A24" s="46" t="str">
        <x:v>SKU-023</x:v>
      </x:c>
      <x:c r="B24" s="46" t="str">
        <x:v>Labelable small-parts bin set</x:v>
      </x:c>
      <x:c r="C24" s="46" t="str">
        <x:v>Custom desk &amp; drawer organizers</x:v>
      </x:c>
      <x:c r="D24" s="46" t="n">
        <x:v>1</x:v>
      </x:c>
      <x:c r="E24" s="46" t="str">
        <x:v>Create a compact set of bins sized to a hobbyist's parts inventory.</x:v>
      </x:c>
      <x:c r="F24" s="46" t="str">
        <x:v>Makers, sewing, electronics hobby, workshops</x:v>
      </x:c>
      <x:c r="G24" s="46" t="str">
        <x:v>Home-office refresh and organization demand; exact-fit customization creates clear additive advantage.</x:v>
      </x:c>
      <x:c r="H24" s="52" t="n">
        <x:v>95</x:v>
      </x:c>
      <x:c r="I24" s="52" t="n">
        <x:v>5</x:v>
      </x:c>
      <x:c r="J24" s="52" t="n">
        <x:v>5</x:v>
      </x:c>
      <x:c r="K24" s="52" t="n">
        <x:v>4</x:v>
      </x:c>
      <x:c r="L24" s="52" t="n">
        <x:v>5</x:v>
      </x:c>
      <x:c r="M24" s="52" t="n">
        <x:v>200</x:v>
      </x:c>
      <x:c r="N24" s="52" t="n">
        <x:v>160</x:v>
      </x:c>
      <x:c r="O24" s="52" t="n">
        <x:v>80</x:v>
      </x:c>
      <x:c r="P24" s="46" t="str">
        <x:v>M</x:v>
      </x:c>
      <x:c r="Q24" s="46" t="str">
        <x:v>Stacking bin set</x:v>
      </x:c>
      <x:c r="R24" s="46" t="str">
        <x:v>PETG</x:v>
      </x:c>
      <x:c r="S24" s="46" t="str">
        <x:v>Paper or printed labels</x:v>
      </x:c>
      <x:c r="T24" s="46" t="str">
        <x:v>Core 250 mm</x:v>
      </x:c>
      <x:c r="U24" s="46" t="str">
        <x:v>No</x:v>
      </x:c>
      <x:c r="V24" s="46" t="str">
        <x:v>None</x:v>
      </x:c>
      <x:c r="W24" s="52" t="n">
        <x:v>2</x:v>
      </x:c>
      <x:c r="X24" s="46" t="str">
        <x:v>Shelf/drawer footprint, part types, preferred bin count</x:v>
      </x:c>
      <x:c r="Y24" s="46" t="str">
        <x:v>Bin widths, stack lock, label window, scoop front</x:v>
      </x:c>
      <x:c r="Z24" s="46" t="str">
        <x:v>Stack stability, drop test from bench height, label fit</x:v>
      </x:c>
      <x:c r="AA24" s="46" t="str">
        <x:v>Small parts storage; keep away from children where contents require it</x:v>
      </x:c>
      <x:c r="AB24" s="46" t="str">
        <x:v>GPSR standard + stacking validation</x:v>
      </x:c>
      <x:c r="AC24" s="52" t="n">
        <x:v>2</x:v>
      </x:c>
      <x:c r="AD24" s="46" t="str">
        <x:v>No</x:v>
      </x:c>
      <x:c r="AE24" s="46" t="str">
        <x:v>Potential</x:v>
      </x:c>
      <x:c r="AF24" s="46" t="str">
        <x:v>No</x:v>
      </x:c>
      <x:c r="AG24" s="46" t="str">
        <x:v>No</x:v>
      </x:c>
      <x:c r="AH24" s="46" t="str">
        <x:v>Ready</x:v>
      </x:c>
      <x:c r="AI24" s="46" t="str">
        <x:v>Own parametric CAD</x:v>
      </x:c>
      <x:c r="AJ24" s="46" t="str">
        <x:v>No—own design</x:v>
      </x:c>
      <x:c r="AK24" s="50" t="n">
        <x:v>11.9</x:v>
      </x:c>
      <x:c r="AL24" s="50" t="n">
        <x:f>'Unit Economics'!R24</x:f>
        <x:v>22.97456</x:v>
      </x:c>
      <x:c r="AM24" s="50" t="n">
        <x:f>'Unit Economics'!V24</x:f>
        <x:v>68.425</x:v>
      </x:c>
      <x:c r="AN24" s="54" t="n">
        <x:f>'Unit Economics'!Y24</x:f>
        <x:v>0.5504424347826088</x:v>
      </x:c>
      <x:c r="AO24" s="48" t="n">
        <x:f>ROUND(H24*Assumptions!$B$39+I24*20*Assumptions!$B$40+J24*20*Assumptions!$B$41+K24*20*Assumptions!$B$42+L24*20*Assumptions!$B$43+(6-AC24)*20*Assumptions!$B$44,1)</x:f>
        <x:v>93.5</x:v>
      </x:c>
      <x:c r="AP24" s="46" t="str">
        <x:f>IF(OR(AC24&gt;=4,AD24="Yes",AE24="Yes",AF24="Complete electrical"),"Specialist / Hold",IF(AND(AO24&gt;=92,AH24="Ready",AC24&lt;=2),"Wave 1",IF(AO24&gt;=82,"Wave 2","Wave 3")))</x:f>
        <x:v>Wave 1</x:v>
      </x:c>
      <x:c r="AQ24" s="46" t="str">
        <x:v>S05; S06; S11; S19</x:v>
      </x:c>
      <x:c r="AR24" s="46" t="str">
        <x:v>Selected</x:v>
      </x:c>
      <x:c r="AS24" s="46" t="str">
        <x:v>Pilot with electronics and sewing use cases</x:v>
      </x:c>
      <x:c r="AT24" s="46" t="str"/>
    </x:row>
    <x:row r="25" ht="42" customHeight="1">
      <x:c r="A25" s="46" t="str">
        <x:v>SKU-024</x:v>
      </x:c>
      <x:c r="B25" s="46" t="str">
        <x:v>Vinyl record-divider label set</x:v>
      </x:c>
      <x:c r="C25" s="46" t="str">
        <x:v>Bookends, vinyl &amp; display stands</x:v>
      </x:c>
      <x:c r="D25" s="46" t="n">
        <x:v>15</x:v>
      </x:c>
      <x:c r="E25" s="46" t="str">
        <x:v>Create customized alphabetical, genre or collection dividers.</x:v>
      </x:c>
      <x:c r="F25" s="46" t="str">
        <x:v>Vinyl collectors and record shops</x:v>
      </x:c>
      <x:c r="G25" s="46" t="str">
        <x:v>The 2026 analog revival and intentional nostalgia support display accessories for books and records.</x:v>
      </x:c>
      <x:c r="H25" s="52" t="n">
        <x:v>78</x:v>
      </x:c>
      <x:c r="I25" s="52" t="n">
        <x:v>5</x:v>
      </x:c>
      <x:c r="J25" s="52" t="n">
        <x:v>5</x:v>
      </x:c>
      <x:c r="K25" s="52" t="n">
        <x:v>5</x:v>
      </x:c>
      <x:c r="L25" s="52" t="n">
        <x:v>5</x:v>
      </x:c>
      <x:c r="M25" s="52" t="n">
        <x:v>235</x:v>
      </x:c>
      <x:c r="N25" s="52" t="n">
        <x:v>105</x:v>
      </x:c>
      <x:c r="O25" s="52" t="n">
        <x:v>5</x:v>
      </x:c>
      <x:c r="P25" s="46" t="str">
        <x:v>M</x:v>
      </x:c>
      <x:c r="Q25" s="46" t="str">
        <x:v>Batch of thin dividers</x:v>
      </x:c>
      <x:c r="R25" s="46" t="str">
        <x:v>PETG</x:v>
      </x:c>
      <x:c r="S25" s="46" t="str">
        <x:v>Optional color inlays</x:v>
      </x:c>
      <x:c r="T25" s="46" t="str">
        <x:v>Core 250 mm</x:v>
      </x:c>
      <x:c r="U25" s="46" t="str">
        <x:v>No</x:v>
      </x:c>
      <x:c r="V25" s="46" t="str">
        <x:v>None</x:v>
      </x:c>
      <x:c r="W25" s="52" t="n">
        <x:v>1</x:v>
      </x:c>
      <x:c r="X25" s="46" t="str">
        <x:v>Shelf/box dimensions, labels, quantity and font</x:v>
      </x:c>
      <x:c r="Y25" s="46" t="str">
        <x:v>Divider height, tab position, text, thickness</x:v>
      </x:c>
      <x:c r="Z25" s="46" t="str">
        <x:v>Fit, text legibility, sharp-edge and warp check</x:v>
      </x:c>
      <x:c r="AA25" s="46" t="str">
        <x:v>Storage aid only; do not overpack records</x:v>
      </x:c>
      <x:c r="AB25" s="46" t="str">
        <x:v>GPSR standard + batch/QC workflow</x:v>
      </x:c>
      <x:c r="AC25" s="52" t="n">
        <x:v>1</x:v>
      </x:c>
      <x:c r="AD25" s="46" t="str">
        <x:v>No</x:v>
      </x:c>
      <x:c r="AE25" s="46" t="str">
        <x:v>No</x:v>
      </x:c>
      <x:c r="AF25" s="46" t="str">
        <x:v>No</x:v>
      </x:c>
      <x:c r="AG25" s="46" t="str">
        <x:v>No</x:v>
      </x:c>
      <x:c r="AH25" s="46" t="str">
        <x:v>Ready</x:v>
      </x:c>
      <x:c r="AI25" s="46" t="str">
        <x:v>Own CAD; licensed fonts</x:v>
      </x:c>
      <x:c r="AJ25" s="46" t="str">
        <x:v>No—own design</x:v>
      </x:c>
      <x:c r="AK25" s="50" t="n">
        <x:v>9.9</x:v>
      </x:c>
      <x:c r="AL25" s="50" t="n">
        <x:f>'Unit Economics'!R25</x:f>
        <x:v>20.916</x:v>
      </x:c>
      <x:c r="AM25" s="50" t="n">
        <x:f>'Unit Economics'!V25</x:f>
        <x:v>62.474999999999994</x:v>
      </x:c>
      <x:c r="AN25" s="54" t="n">
        <x:f>'Unit Economics'!Y25</x:f>
        <x:v>0.5516</x:v>
      </x:c>
      <x:c r="AO25" s="48" t="n">
        <x:f>ROUND(H25*Assumptions!$B$39+I25*20*Assumptions!$B$40+J25*20*Assumptions!$B$41+K25*20*Assumptions!$B$42+L25*20*Assumptions!$B$43+(6-AC25)*20*Assumptions!$B$44,1)</x:f>
        <x:v>93.4</x:v>
      </x:c>
      <x:c r="AP25" s="46" t="str">
        <x:f>IF(OR(AC25&gt;=4,AD25="Yes",AE25="Yes",AF25="Complete electrical"),"Specialist / Hold",IF(AND(AO25&gt;=92,AH25="Ready",AC25&lt;=2),"Wave 1",IF(AO25&gt;=82,"Wave 2","Wave 3")))</x:f>
        <x:v>Wave 1</x:v>
      </x:c>
      <x:c r="AQ25" s="46" t="str">
        <x:v>S01; S04; S11; S19</x:v>
      </x:c>
      <x:c r="AR25" s="46" t="str">
        <x:v>Selected</x:v>
      </x:c>
      <x:c r="AS25" s="46" t="str">
        <x:v>Build CSV label import and nesting layout</x:v>
      </x:c>
      <x:c r="AT25" s="46" t="str"/>
    </x:row>
    <x:row r="26" ht="42" customHeight="1">
      <x:c r="A26" s="46" t="str">
        <x:v>SKU-025</x:v>
      </x:c>
      <x:c r="B26" s="46" t="str">
        <x:v>Snap-on journal pen loop</x:v>
      </x:c>
      <x:c r="C26" s="46" t="str">
        <x:v>Journaling &amp; stationery accessories</x:v>
      </x:c>
      <x:c r="D26" s="46" t="n">
        <x:v>17</x:v>
      </x:c>
      <x:c r="E26" s="46" t="str">
        <x:v>Fit a pen loop to a specific notebook cover thickness and pen diameter.</x:v>
      </x:c>
      <x:c r="F26" s="46" t="str">
        <x:v>Journalers, students and planners</x:v>
      </x:c>
      <x:c r="G26" s="46" t="str">
        <x:v>Etsy reports journal-charms searches up 395%; 2026 craft reporting shows strong analog and junk-journaling growth.</x:v>
      </x:c>
      <x:c r="H26" s="52" t="n">
        <x:v>78</x:v>
      </x:c>
      <x:c r="I26" s="52" t="n">
        <x:v>5</x:v>
      </x:c>
      <x:c r="J26" s="52" t="n">
        <x:v>5</x:v>
      </x:c>
      <x:c r="K26" s="52" t="n">
        <x:v>5</x:v>
      </x:c>
      <x:c r="L26" s="52" t="n">
        <x:v>5</x:v>
      </x:c>
      <x:c r="M26" s="52" t="n">
        <x:v>75</x:v>
      </x:c>
      <x:c r="N26" s="52" t="n">
        <x:v>28</x:v>
      </x:c>
      <x:c r="O26" s="52" t="n">
        <x:v>18</x:v>
      </x:c>
      <x:c r="P26" s="46" t="str">
        <x:v>S</x:v>
      </x:c>
      <x:c r="Q26" s="46" t="str">
        <x:v>Rigid clip + flexible loop or all-TPU</x:v>
      </x:c>
      <x:c r="R26" s="46" t="str">
        <x:v>TPU</x:v>
      </x:c>
      <x:c r="S26" s="46" t="str">
        <x:v>Optional PETG clip</x:v>
      </x:c>
      <x:c r="T26" s="46" t="str">
        <x:v>Flexible-capable 250 mm</x:v>
      </x:c>
      <x:c r="U26" s="46" t="str">
        <x:v>No</x:v>
      </x:c>
      <x:c r="V26" s="46" t="str">
        <x:v>None</x:v>
      </x:c>
      <x:c r="W26" s="52" t="n">
        <x:v>2</x:v>
      </x:c>
      <x:c r="X26" s="46" t="str">
        <x:v>Cover thickness, pen diameter, left/right placement</x:v>
      </x:c>
      <x:c r="Y26" s="46" t="str">
        <x:v>Clip gap, loop diameter, grip texture, initials</x:v>
      </x:c>
      <x:c r="Z26" s="46" t="str">
        <x:v>Insertion cycles, cover-marking, pen retention</x:v>
      </x:c>
      <x:c r="AA26" s="46" t="str">
        <x:v>Accessory only; avoid overstressing delicate covers</x:v>
      </x:c>
      <x:c r="AB26" s="46" t="str">
        <x:v>GPSR standard consumer product</x:v>
      </x:c>
      <x:c r="AC26" s="52" t="n">
        <x:v>1</x:v>
      </x:c>
      <x:c r="AD26" s="46" t="str">
        <x:v>No</x:v>
      </x:c>
      <x:c r="AE26" s="46" t="str">
        <x:v>Potential</x:v>
      </x:c>
      <x:c r="AF26" s="46" t="str">
        <x:v>No</x:v>
      </x:c>
      <x:c r="AG26" s="46" t="str">
        <x:v>No</x:v>
      </x:c>
      <x:c r="AH26" s="46" t="str">
        <x:v>Guided</x:v>
      </x:c>
      <x:c r="AI26" s="46" t="str">
        <x:v>Own parametric CAD</x:v>
      </x:c>
      <x:c r="AJ26" s="46" t="str">
        <x:v>No—own design</x:v>
      </x:c>
      <x:c r="AK26" s="50" t="n">
        <x:v>4.9</x:v>
      </x:c>
      <x:c r="AL26" s="50" t="n">
        <x:f>'Unit Economics'!R26</x:f>
        <x:v>6.31568</x:v>
      </x:c>
      <x:c r="AM26" s="50" t="n">
        <x:f>'Unit Economics'!V26</x:f>
        <x:v>19.04</x:v>
      </x:c>
      <x:c r="AN26" s="54" t="n">
        <x:f>'Unit Economics'!Y26</x:f>
        <x:v>0.5552699999999999</x:v>
      </x:c>
      <x:c r="AO26" s="48" t="n">
        <x:f>ROUND(H26*Assumptions!$B$39+I26*20*Assumptions!$B$40+J26*20*Assumptions!$B$41+K26*20*Assumptions!$B$42+L26*20*Assumptions!$B$43+(6-AC26)*20*Assumptions!$B$44,1)</x:f>
        <x:v>93.4</x:v>
      </x:c>
      <x:c r="AP26" s="46" t="str">
        <x:f>IF(OR(AC26&gt;=4,AD26="Yes",AE26="Yes",AF26="Complete electrical"),"Specialist / Hold",IF(AND(AO26&gt;=92,AH26="Ready",AC26&lt;=2),"Wave 1",IF(AO26&gt;=82,"Wave 2","Wave 3")))</x:f>
        <x:v>Wave 2</x:v>
      </x:c>
      <x:c r="AQ26" s="46" t="str">
        <x:v>S01; S04; S11; S16</x:v>
      </x:c>
      <x:c r="AR26" s="46" t="str">
        <x:v>Backlog</x:v>
      </x:c>
      <x:c r="AS26" s="46" t="str">
        <x:v>Develop combined PETG/TPU and all-TPU variants</x:v>
      </x:c>
      <x:c r="AT26" s="46" t="str"/>
    </x:row>
    <x:row r="27" ht="42" customHeight="1">
      <x:c r="A27" s="46" t="str">
        <x:v>SKU-026</x:v>
      </x:c>
      <x:c r="B27" s="46" t="str">
        <x:v>Stencil-ruler bookmark set</x:v>
      </x:c>
      <x:c r="C27" s="46" t="str">
        <x:v>Journaling &amp; stationery accessories</x:v>
      </x:c>
      <x:c r="D27" s="46" t="n">
        <x:v>17</x:v>
      </x:c>
      <x:c r="E27" s="46" t="str">
        <x:v>Combine journal stencils, measurement marks and bookmarks in a personalized set.</x:v>
      </x:c>
      <x:c r="F27" s="46" t="str">
        <x:v>Journaling, planners and students</x:v>
      </x:c>
      <x:c r="G27" s="46" t="str">
        <x:v>Etsy reports journal-charms searches up 395%; 2026 craft reporting shows strong analog and junk-journaling growth.</x:v>
      </x:c>
      <x:c r="H27" s="52" t="n">
        <x:v>78</x:v>
      </x:c>
      <x:c r="I27" s="52" t="n">
        <x:v>5</x:v>
      </x:c>
      <x:c r="J27" s="52" t="n">
        <x:v>5</x:v>
      </x:c>
      <x:c r="K27" s="52" t="n">
        <x:v>5</x:v>
      </x:c>
      <x:c r="L27" s="52" t="n">
        <x:v>5</x:v>
      </x:c>
      <x:c r="M27" s="52" t="n">
        <x:v>185</x:v>
      </x:c>
      <x:c r="N27" s="52" t="n">
        <x:v>55</x:v>
      </x:c>
      <x:c r="O27" s="52" t="n">
        <x:v>2</x:v>
      </x:c>
      <x:c r="P27" s="46" t="str">
        <x:v>M</x:v>
      </x:c>
      <x:c r="Q27" s="46" t="str">
        <x:v>Flat batch set</x:v>
      </x:c>
      <x:c r="R27" s="46" t="str">
        <x:v>PETG</x:v>
      </x:c>
      <x:c r="S27" s="46" t="str">
        <x:v>None</x:v>
      </x:c>
      <x:c r="T27" s="46" t="str">
        <x:v>Core 250 mm</x:v>
      </x:c>
      <x:c r="U27" s="46" t="str">
        <x:v>No</x:v>
      </x:c>
      <x:c r="V27" s="46" t="str">
        <x:v>None</x:v>
      </x:c>
      <x:c r="W27" s="52" t="n">
        <x:v>1</x:v>
      </x:c>
      <x:c r="X27" s="46" t="str">
        <x:v>Notebook size, stencil icons, units and personalization</x:v>
      </x:c>
      <x:c r="Y27" s="46" t="str">
        <x:v>Length, icons, line widths, tab, text</x:v>
      </x:c>
      <x:c r="Z27" s="46" t="str">
        <x:v>Line-width print test, edge smoothness, dimension accuracy</x:v>
      </x:c>
      <x:c r="AA27" s="46" t="str">
        <x:v>Stationery accessory; not a precision certified measuring instrument</x:v>
      </x:c>
      <x:c r="AB27" s="46" t="str">
        <x:v>GPSR standard consumer product</x:v>
      </x:c>
      <x:c r="AC27" s="52" t="n">
        <x:v>1</x:v>
      </x:c>
      <x:c r="AD27" s="46" t="str">
        <x:v>No</x:v>
      </x:c>
      <x:c r="AE27" s="46" t="str">
        <x:v>Potential</x:v>
      </x:c>
      <x:c r="AF27" s="46" t="str">
        <x:v>No</x:v>
      </x:c>
      <x:c r="AG27" s="46" t="str">
        <x:v>No</x:v>
      </x:c>
      <x:c r="AH27" s="46" t="str">
        <x:v>Ready</x:v>
      </x:c>
      <x:c r="AI27" s="46" t="str">
        <x:v>Own icons; licensed fonts</x:v>
      </x:c>
      <x:c r="AJ27" s="46" t="str">
        <x:v>Rights tracked for icons/fonts</x:v>
      </x:c>
      <x:c r="AK27" s="50" t="n">
        <x:v>5.9</x:v>
      </x:c>
      <x:c r="AL27" s="50" t="n">
        <x:f>'Unit Economics'!R27</x:f>
        <x:v>8.205232</x:v>
      </x:c>
      <x:c r="AM27" s="50" t="n">
        <x:f>'Unit Economics'!V27</x:f>
        <x:v>24.99</x:v>
      </x:c>
      <x:c r="AN27" s="54" t="n">
        <x:f>'Unit Economics'!Y27</x:f>
        <x:v>0.5592746666666666</x:v>
      </x:c>
      <x:c r="AO27" s="48" t="n">
        <x:f>ROUND(H27*Assumptions!$B$39+I27*20*Assumptions!$B$40+J27*20*Assumptions!$B$41+K27*20*Assumptions!$B$42+L27*20*Assumptions!$B$43+(6-AC27)*20*Assumptions!$B$44,1)</x:f>
        <x:v>93.4</x:v>
      </x:c>
      <x:c r="AP27" s="46" t="str">
        <x:f>IF(OR(AC27&gt;=4,AD27="Yes",AE27="Yes",AF27="Complete electrical"),"Specialist / Hold",IF(AND(AO27&gt;=92,AH27="Ready",AC27&lt;=2),"Wave 1",IF(AO27&gt;=82,"Wave 2","Wave 3")))</x:f>
        <x:v>Wave 1</x:v>
      </x:c>
      <x:c r="AQ27" s="46" t="str">
        <x:v>S01; S04; S11; S16</x:v>
      </x:c>
      <x:c r="AR27" s="46" t="str">
        <x:v>Selected</x:v>
      </x:c>
      <x:c r="AS27" s="46" t="str">
        <x:v>Create original icon set and minimum-feature rules</x:v>
      </x:c>
      <x:c r="AT27" s="46" t="str"/>
    </x:row>
    <x:row r="28" ht="42" customHeight="1">
      <x:c r="A28" s="46" t="str">
        <x:v>SKU-027</x:v>
      </x:c>
      <x:c r="B28" s="46" t="str">
        <x:v>Personalized event place-card token set</x:v>
      </x:c>
      <x:c r="C28" s="46" t="str">
        <x:v>Personalized signs, house numbers &amp; event decor</x:v>
      </x:c>
      <x:c r="D28" s="46" t="n">
        <x:v>11</x:v>
      </x:c>
      <x:c r="E28" s="46" t="str">
        <x:v>Create reusable names or table tokens for a specific guest list.</x:v>
      </x:c>
      <x:c r="F28" s="46" t="str">
        <x:v>Events, hospitality and family celebrations</x:v>
      </x:c>
      <x:c r="G28" s="46" t="str">
        <x:v>Personalized gifting and 2026 celebration/party-decor growth support made-to-order signage.</x:v>
      </x:c>
      <x:c r="H28" s="52" t="n">
        <x:v>84</x:v>
      </x:c>
      <x:c r="I28" s="52" t="n">
        <x:v>5</x:v>
      </x:c>
      <x:c r="J28" s="52" t="n">
        <x:v>5</x:v>
      </x:c>
      <x:c r="K28" s="52" t="n">
        <x:v>5</x:v>
      </x:c>
      <x:c r="L28" s="52" t="n">
        <x:v>5</x:v>
      </x:c>
      <x:c r="M28" s="52" t="n">
        <x:v>105</x:v>
      </x:c>
      <x:c r="N28" s="52" t="n">
        <x:v>45</x:v>
      </x:c>
      <x:c r="O28" s="52" t="n">
        <x:v>22</x:v>
      </x:c>
      <x:c r="P28" s="46" t="str">
        <x:v>S</x:v>
      </x:c>
      <x:c r="Q28" s="46" t="str">
        <x:v>Batch of individualized tokens</x:v>
      </x:c>
      <x:c r="R28" s="46" t="str">
        <x:v>PLA</x:v>
      </x:c>
      <x:c r="S28" s="46" t="str">
        <x:v>Optional reusable base</x:v>
      </x:c>
      <x:c r="T28" s="46" t="str">
        <x:v>Core 250 mm</x:v>
      </x:c>
      <x:c r="U28" s="46" t="str">
        <x:v>No</x:v>
      </x:c>
      <x:c r="V28" s="46" t="str">
        <x:v>None</x:v>
      </x:c>
      <x:c r="W28" s="52" t="n">
        <x:v>1</x:v>
      </x:c>
      <x:c r="X28" s="46" t="str">
        <x:v>Guest list, theme, font, color, quantity</x:v>
      </x:c>
      <x:c r="Y28" s="46" t="str">
        <x:v>Name text, base style, icon, batch layout</x:v>
      </x:c>
      <x:c r="Z28" s="46" t="str">
        <x:v>Spelling proof, batch count, edge check</x:v>
      </x:c>
      <x:c r="AA28" s="46" t="str">
        <x:v>Decorative; small parts require appropriate age/access warnings</x:v>
      </x:c>
      <x:c r="AB28" s="46" t="str">
        <x:v>GPSR standard + batch/QC workflow</x:v>
      </x:c>
      <x:c r="AC28" s="52" t="n">
        <x:v>2</x:v>
      </x:c>
      <x:c r="AD28" s="46" t="str">
        <x:v>No</x:v>
      </x:c>
      <x:c r="AE28" s="46" t="str">
        <x:v>Potential</x:v>
      </x:c>
      <x:c r="AF28" s="46" t="str">
        <x:v>No</x:v>
      </x:c>
      <x:c r="AG28" s="46" t="str">
        <x:v>No</x:v>
      </x:c>
      <x:c r="AH28" s="46" t="str">
        <x:v>Ready</x:v>
      </x:c>
      <x:c r="AI28" s="46" t="str">
        <x:v>Own CAD; licensed fonts</x:v>
      </x:c>
      <x:c r="AJ28" s="46" t="str">
        <x:v>No—own design</x:v>
      </x:c>
      <x:c r="AK28" s="50" t="n">
        <x:v>12.9</x:v>
      </x:c>
      <x:c r="AL28" s="50" t="n">
        <x:f>'Unit Economics'!R28</x:f>
        <x:v>24.20586</x:v>
      </x:c>
      <x:c r="AM28" s="50" t="n">
        <x:f>'Unit Economics'!V28</x:f>
        <x:v>72.59</x:v>
      </x:c>
      <x:c r="AN28" s="54" t="n">
        <x:f>'Unit Economics'!Y28</x:f>
        <x:v>0.5531826229508197</x:v>
      </x:c>
      <x:c r="AO28" s="48" t="n">
        <x:f>ROUND(H28*Assumptions!$B$39+I28*20*Assumptions!$B$40+J28*20*Assumptions!$B$41+K28*20*Assumptions!$B$42+L28*20*Assumptions!$B$43+(6-AC28)*20*Assumptions!$B$44,1)</x:f>
        <x:v>93.2</x:v>
      </x:c>
      <x:c r="AP28" s="46" t="str">
        <x:f>IF(OR(AC28&gt;=4,AD28="Yes",AE28="Yes",AF28="Complete electrical"),"Specialist / Hold",IF(AND(AO28&gt;=92,AH28="Ready",AC28&lt;=2),"Wave 1",IF(AO28&gt;=82,"Wave 2","Wave 3")))</x:f>
        <x:v>Wave 1</x:v>
      </x:c>
      <x:c r="AQ28" s="46" t="str">
        <x:v>S01; S04; S11; S16; S24</x:v>
      </x:c>
      <x:c r="AR28" s="46" t="str">
        <x:v>Selected</x:v>
      </x:c>
      <x:c r="AS28" s="46" t="str">
        <x:v>Build CSV guest-list import and proof sheet</x:v>
      </x:c>
      <x:c r="AT28" s="46" t="str"/>
    </x:row>
    <x:row r="29" ht="42" customHeight="1">
      <x:c r="A29" s="46" t="str">
        <x:v>SKU-028</x:v>
      </x:c>
      <x:c r="B29" s="46" t="str">
        <x:v>Mahjong score-marker station</x:v>
      </x:c>
      <x:c r="C29" s="46" t="str">
        <x:v>Mahjong racks, pushers &amp; tile trays</x:v>
      </x:c>
      <x:c r="D29" s="46" t="n">
        <x:v>6</x:v>
      </x:c>
      <x:c r="E29" s="46" t="str">
        <x:v>Organize dealer markers, dice and score tokens in one personalized station.</x:v>
      </x:c>
      <x:c r="F29" s="46" t="str">
        <x:v>Adult players and clubs</x:v>
      </x:c>
      <x:c r="G29" s="46" t="str">
        <x:v>Etsy Spring/Summer 2026 reports mahjong-rack searches up 228%.</x:v>
      </x:c>
      <x:c r="H29" s="52" t="n">
        <x:v>89</x:v>
      </x:c>
      <x:c r="I29" s="52" t="n">
        <x:v>4</x:v>
      </x:c>
      <x:c r="J29" s="52" t="n">
        <x:v>5</x:v>
      </x:c>
      <x:c r="K29" s="52" t="n">
        <x:v>5</x:v>
      </x:c>
      <x:c r="L29" s="52" t="n">
        <x:v>5</x:v>
      </x:c>
      <x:c r="M29" s="52" t="n">
        <x:v>165</x:v>
      </x:c>
      <x:c r="N29" s="52" t="n">
        <x:v>125</x:v>
      </x:c>
      <x:c r="O29" s="52" t="n">
        <x:v>42</x:v>
      </x:c>
      <x:c r="P29" s="46" t="str">
        <x:v>M</x:v>
      </x:c>
      <x:c r="Q29" s="46" t="str">
        <x:v>Single body with removable labels</x:v>
      </x:c>
      <x:c r="R29" s="46" t="str">
        <x:v>PLA</x:v>
      </x:c>
      <x:c r="S29" s="46" t="str">
        <x:v>Optional felt feet</x:v>
      </x:c>
      <x:c r="T29" s="46" t="str">
        <x:v>Core 250 mm</x:v>
      </x:c>
      <x:c r="U29" s="46" t="str">
        <x:v>No</x:v>
      </x:c>
      <x:c r="V29" s="46" t="str">
        <x:v>None</x:v>
      </x:c>
      <x:c r="W29" s="52" t="n">
        <x:v>1</x:v>
      </x:c>
      <x:c r="X29" s="46" t="str">
        <x:v>Marker/token dimensions, language and personalization</x:v>
      </x:c>
      <x:c r="Y29" s="46" t="str">
        <x:v>Pockets, labels, dealer indicator, color inserts</x:v>
      </x:c>
      <x:c r="Z29" s="46" t="str">
        <x:v>Component fit, tip and edge check</x:v>
      </x:c>
      <x:c r="AA29" s="46" t="str">
        <x:v>Adult tabletop accessory; small pieces remain game components</x:v>
      </x:c>
      <x:c r="AB29" s="46" t="str">
        <x:v>GPSR standard consumer product</x:v>
      </x:c>
      <x:c r="AC29" s="52" t="n">
        <x:v>1</x:v>
      </x:c>
      <x:c r="AD29" s="46" t="str">
        <x:v>No</x:v>
      </x:c>
      <x:c r="AE29" s="46" t="str">
        <x:v>Potential</x:v>
      </x:c>
      <x:c r="AF29" s="46" t="str">
        <x:v>No</x:v>
      </x:c>
      <x:c r="AG29" s="46" t="str">
        <x:v>No</x:v>
      </x:c>
      <x:c r="AH29" s="46" t="str">
        <x:v>Ready</x:v>
      </x:c>
      <x:c r="AI29" s="46" t="str">
        <x:v>Own CAD; customer text rights</x:v>
      </x:c>
      <x:c r="AJ29" s="46" t="str">
        <x:v>No—own design</x:v>
      </x:c>
      <x:c r="AK29" s="50" t="n">
        <x:v>7.9</x:v>
      </x:c>
      <x:c r="AL29" s="50" t="n">
        <x:f>'Unit Economics'!R29</x:f>
        <x:v>10.57574</x:v>
      </x:c>
      <x:c r="AM29" s="50" t="n">
        <x:f>'Unit Economics'!V29</x:f>
        <x:v>31.535</x:v>
      </x:c>
      <x:c r="AN29" s="54" t="n">
        <x:f>'Unit Economics'!Y29</x:f>
        <x:v>0.5509154716981133</x:v>
      </x:c>
      <x:c r="AO29" s="48" t="n">
        <x:f>ROUND(H29*Assumptions!$B$39+I29*20*Assumptions!$B$40+J29*20*Assumptions!$B$41+K29*20*Assumptions!$B$42+L29*20*Assumptions!$B$43+(6-AC29)*20*Assumptions!$B$44,1)</x:f>
        <x:v>92.7</x:v>
      </x:c>
      <x:c r="AP29" s="46" t="str">
        <x:f>IF(OR(AC29&gt;=4,AD29="Yes",AE29="Yes",AF29="Complete electrical"),"Specialist / Hold",IF(AND(AO29&gt;=92,AH29="Ready",AC29&lt;=2),"Wave 1",IF(AO29&gt;=82,"Wave 2","Wave 3")))</x:f>
        <x:v>Wave 1</x:v>
      </x:c>
      <x:c r="AQ29" s="46" t="str">
        <x:v>S01; S11; S16; S17</x:v>
      </x:c>
      <x:c r="AR29" s="46" t="str">
        <x:v>Selected</x:v>
      </x:c>
      <x:c r="AS29" s="46" t="str">
        <x:v>Create universal and language-specific presets</x:v>
      </x:c>
      <x:c r="AT29" s="46" t="str"/>
    </x:row>
    <x:row r="30" ht="42" customHeight="1">
      <x:c r="A30" s="46" t="str">
        <x:v>SKU-029</x:v>
      </x:c>
      <x:c r="B30" s="46" t="str">
        <x:v>Glass-tube bud-vase holder</x:v>
      </x:c>
      <x:c r="C30" s="46" t="str">
        <x:v>Vases &amp; sculptural containers</x:v>
      </x:c>
      <x:c r="D30" s="46" t="n">
        <x:v>8</x:v>
      </x:c>
      <x:c r="E30" s="46" t="str">
        <x:v>Arrange standard removable glass tubes in a custom sculptural holder.</x:v>
      </x:c>
      <x:c r="F30" s="46" t="str">
        <x:v>Gifting, weddings and home decor</x:v>
      </x:c>
      <x:c r="G30" s="46" t="str">
        <x:v>2026 decor signals favor sculptural silhouettes, visible texture and personalized interiors.</x:v>
      </x:c>
      <x:c r="H30" s="52" t="n">
        <x:v>87</x:v>
      </x:c>
      <x:c r="I30" s="52" t="n">
        <x:v>5</x:v>
      </x:c>
      <x:c r="J30" s="52" t="n">
        <x:v>5</x:v>
      </x:c>
      <x:c r="K30" s="52" t="n">
        <x:v>5</x:v>
      </x:c>
      <x:c r="L30" s="52" t="n">
        <x:v>4</x:v>
      </x:c>
      <x:c r="M30" s="52" t="n">
        <x:v>205</x:v>
      </x:c>
      <x:c r="N30" s="52" t="n">
        <x:v>130</x:v>
      </x:c>
      <x:c r="O30" s="52" t="n">
        <x:v>185</x:v>
      </x:c>
      <x:c r="P30" s="46" t="str">
        <x:v>M</x:v>
      </x:c>
      <x:c r="Q30" s="46" t="str">
        <x:v>Printed holder + standard glass tubes</x:v>
      </x:c>
      <x:c r="R30" s="46" t="str">
        <x:v>PLA</x:v>
      </x:c>
      <x:c r="S30" s="46" t="str">
        <x:v>Glass tubes and felt feet</x:v>
      </x:c>
      <x:c r="T30" s="46" t="str">
        <x:v>Core 250 mm</x:v>
      </x:c>
      <x:c r="U30" s="46" t="str">
        <x:v>No</x:v>
      </x:c>
      <x:c r="V30" s="46" t="str">
        <x:v>None</x:v>
      </x:c>
      <x:c r="W30" s="52" t="n">
        <x:v>2</x:v>
      </x:c>
      <x:c r="X30" s="46" t="str">
        <x:v>Tube dimensions/count, holder footprint, style</x:v>
      </x:c>
      <x:c r="Y30" s="46" t="str">
        <x:v>Tube sockets, spacing, base, text</x:v>
      </x:c>
      <x:c r="Z30" s="46" t="str">
        <x:v>Tube retention, tip stability, water-spill path</x:v>
      </x:c>
      <x:c r="AA30" s="46" t="str">
        <x:v>Water is contained only in glass tubes; inspect glass separately</x:v>
      </x:c>
      <x:c r="AB30" s="46" t="str">
        <x:v>GPSR standard + component retention validation</x:v>
      </x:c>
      <x:c r="AC30" s="52" t="n">
        <x:v>2</x:v>
      </x:c>
      <x:c r="AD30" s="46" t="str">
        <x:v>No</x:v>
      </x:c>
      <x:c r="AE30" s="46" t="str">
        <x:v>No</x:v>
      </x:c>
      <x:c r="AF30" s="46" t="str">
        <x:v>No</x:v>
      </x:c>
      <x:c r="AG30" s="46" t="str">
        <x:v>No</x:v>
      </x:c>
      <x:c r="AH30" s="46" t="str">
        <x:v>Ready</x:v>
      </x:c>
      <x:c r="AI30" s="46" t="str">
        <x:v>Own CAD; sourced tube specification</x:v>
      </x:c>
      <x:c r="AJ30" s="46" t="str">
        <x:v>No—own design</x:v>
      </x:c>
      <x:c r="AK30" s="50" t="n">
        <x:v>10.9</x:v>
      </x:c>
      <x:c r="AL30" s="50" t="n">
        <x:f>'Unit Economics'!R30</x:f>
        <x:v>16.561790000000002</x:v>
      </x:c>
      <x:c r="AM30" s="50" t="n">
        <x:f>'Unit Economics'!V30</x:f>
        <x:v>49.385</x:v>
      </x:c>
      <x:c r="AN30" s="54" t="n">
        <x:f>'Unit Economics'!Y30</x:f>
        <x:v>0.5509207228915662</x:v>
      </x:c>
      <x:c r="AO30" s="48" t="n">
        <x:f>ROUND(H30*Assumptions!$B$39+I30*20*Assumptions!$B$40+J30*20*Assumptions!$B$41+K30*20*Assumptions!$B$42+L30*20*Assumptions!$B$43+(6-AC30)*20*Assumptions!$B$44,1)</x:f>
        <x:v>92.1</x:v>
      </x:c>
      <x:c r="AP30" s="46" t="str">
        <x:f>IF(OR(AC30&gt;=4,AD30="Yes",AE30="Yes",AF30="Complete electrical"),"Specialist / Hold",IF(AND(AO30&gt;=92,AH30="Ready",AC30&lt;=2),"Wave 1",IF(AO30&gt;=82,"Wave 2","Wave 3")))</x:f>
        <x:v>Wave 1</x:v>
      </x:c>
      <x:c r="AQ30" s="46" t="str">
        <x:v>S02; S03; S11; S19</x:v>
      </x:c>
      <x:c r="AR30" s="46" t="str">
        <x:v>Selected</x:v>
      </x:c>
      <x:c r="AS30" s="46" t="str">
        <x:v>Standardize two readily available tube sizes</x:v>
      </x:c>
      <x:c r="AT30" s="46" t="str"/>
    </x:row>
    <x:row r="31" ht="42" customHeight="1">
      <x:c r="A31" s="46" t="str">
        <x:v>SKU-030</x:v>
      </x:c>
      <x:c r="B31" s="46" t="str">
        <x:v>Vinyl 'Now Playing' display stand</x:v>
      </x:c>
      <x:c r="C31" s="46" t="str">
        <x:v>Bookends, vinyl &amp; display stands</x:v>
      </x:c>
      <x:c r="D31" s="46" t="n">
        <x:v>15</x:v>
      </x:c>
      <x:c r="E31" s="46" t="str">
        <x:v>Display one record jacket at a chosen angle and footprint.</x:v>
      </x:c>
      <x:c r="F31" s="46" t="str">
        <x:v>Vinyl collectors and gifts</x:v>
      </x:c>
      <x:c r="G31" s="46" t="str">
        <x:v>The 2026 analog revival and intentional nostalgia support display accessories for books and records.</x:v>
      </x:c>
      <x:c r="H31" s="52" t="n">
        <x:v>79</x:v>
      </x:c>
      <x:c r="I31" s="52" t="n">
        <x:v>5</x:v>
      </x:c>
      <x:c r="J31" s="52" t="n">
        <x:v>5</x:v>
      </x:c>
      <x:c r="K31" s="52" t="n">
        <x:v>5</x:v>
      </x:c>
      <x:c r="L31" s="52" t="n">
        <x:v>4</x:v>
      </x:c>
      <x:c r="M31" s="52" t="n">
        <x:v>225</x:v>
      </x:c>
      <x:c r="N31" s="52" t="n">
        <x:v>185</x:v>
      </x:c>
      <x:c r="O31" s="52" t="n">
        <x:v>175</x:v>
      </x:c>
      <x:c r="P31" s="46" t="str">
        <x:v>M</x:v>
      </x:c>
      <x:c r="Q31" s="46" t="str">
        <x:v>Single stand or base + backrest</x:v>
      </x:c>
      <x:c r="R31" s="46" t="str">
        <x:v>PLA</x:v>
      </x:c>
      <x:c r="S31" s="46" t="str">
        <x:v>Felt pads</x:v>
      </x:c>
      <x:c r="T31" s="46" t="str">
        <x:v>Core 250 mm</x:v>
      </x:c>
      <x:c r="U31" s="46" t="str">
        <x:v>No</x:v>
      </x:c>
      <x:c r="V31" s="46" t="str">
        <x:v>None</x:v>
      </x:c>
      <x:c r="W31" s="52" t="n">
        <x:v>2</x:v>
      </x:c>
      <x:c r="X31" s="46" t="str">
        <x:v>Jacket thickness/size, shelf footprint, style/text</x:v>
      </x:c>
      <x:c r="Y31" s="46" t="str">
        <x:v>Angle, lip depth, backrest, text, feet</x:v>
      </x:c>
      <x:c r="Z31" s="46" t="str">
        <x:v>Tip/slip test, jacket-edge contact check</x:v>
      </x:c>
      <x:c r="AA31" s="46" t="str">
        <x:v>Display one jacket only; not a storage rack for heavy stacks</x:v>
      </x:c>
      <x:c r="AB31" s="46" t="str">
        <x:v>GPSR + stability validation</x:v>
      </x:c>
      <x:c r="AC31" s="52" t="n">
        <x:v>1</x:v>
      </x:c>
      <x:c r="AD31" s="46" t="str">
        <x:v>No</x:v>
      </x:c>
      <x:c r="AE31" s="46" t="str">
        <x:v>No</x:v>
      </x:c>
      <x:c r="AF31" s="46" t="str">
        <x:v>No</x:v>
      </x:c>
      <x:c r="AG31" s="46" t="str">
        <x:v>No</x:v>
      </x:c>
      <x:c r="AH31" s="46" t="str">
        <x:v>Ready</x:v>
      </x:c>
      <x:c r="AI31" s="46" t="str">
        <x:v>Own CAD; no album artwork included</x:v>
      </x:c>
      <x:c r="AJ31" s="46" t="str">
        <x:v>No—own design</x:v>
      </x:c>
      <x:c r="AK31" s="50" t="n">
        <x:v>8.9</x:v>
      </x:c>
      <x:c r="AL31" s="50" t="n">
        <x:f>'Unit Economics'!R31</x:f>
        <x:v>16.99096</x:v>
      </x:c>
      <x:c r="AM31" s="50" t="n">
        <x:f>'Unit Economics'!V31</x:f>
        <x:v>50.574999999999996</x:v>
      </x:c>
      <x:c r="AN31" s="54" t="n">
        <x:f>'Unit Economics'!Y31</x:f>
        <x:v>0.5502127058823529</x:v>
      </x:c>
      <x:c r="AO31" s="48" t="n">
        <x:f>ROUND(H31*Assumptions!$B$39+I31*20*Assumptions!$B$40+J31*20*Assumptions!$B$41+K31*20*Assumptions!$B$42+L31*20*Assumptions!$B$43+(6-AC31)*20*Assumptions!$B$44,1)</x:f>
        <x:v>91.7</x:v>
      </x:c>
      <x:c r="AP31" s="46" t="str">
        <x:f>IF(OR(AC31&gt;=4,AD31="Yes",AE31="Yes",AF31="Complete electrical"),"Specialist / Hold",IF(AND(AO31&gt;=92,AH31="Ready",AC31&lt;=2),"Wave 1",IF(AO31&gt;=82,"Wave 2","Wave 3")))</x:f>
        <x:v>Wave 2</x:v>
      </x:c>
      <x:c r="AQ31" s="46" t="str">
        <x:v>S01; S04; S11; S19</x:v>
      </x:c>
      <x:c r="AR31" s="46" t="str">
        <x:v>Backlog</x:v>
      </x:c>
      <x:c r="AS31" s="46" t="str">
        <x:v>Create minimalist, retro and maximalist styles</x:v>
      </x:c>
      <x:c r="AT31" s="46" t="str"/>
    </x:row>
    <x:row r="32" ht="42" customHeight="1">
      <x:c r="A32" s="46" t="str">
        <x:v>SKU-031</x:v>
      </x:c>
      <x:c r="B32" s="46" t="str">
        <x:v>City skyline and street-map panel</x:v>
      </x:c>
      <x:c r="C32" s="46" t="str">
        <x:v>3D wall art, reliefs &amp; gallery panels</x:v>
      </x:c>
      <x:c r="D32" s="46" t="n">
        <x:v>10</x:v>
      </x:c>
      <x:c r="E32" s="46" t="str">
        <x:v>Turn a chosen city or neighborhood into a framed 3D wall panel.</x:v>
      </x:c>
      <x:c r="F32" s="46" t="str">
        <x:v>City gifts, local businesses and travelers</x:v>
      </x:c>
      <x:c r="G32" s="46" t="str">
        <x:v>Etsy reports wall-art decor searches up 110%; wall art also appears in 2026 ecommerce trend lists.</x:v>
      </x:c>
      <x:c r="H32" s="52" t="n">
        <x:v>85</x:v>
      </x:c>
      <x:c r="I32" s="52" t="n">
        <x:v>5</x:v>
      </x:c>
      <x:c r="J32" s="52" t="n">
        <x:v>5</x:v>
      </x:c>
      <x:c r="K32" s="52" t="n">
        <x:v>5</x:v>
      </x:c>
      <x:c r="L32" s="52" t="n">
        <x:v>4</x:v>
      </x:c>
      <x:c r="M32" s="52" t="n">
        <x:v>235</x:v>
      </x:c>
      <x:c r="N32" s="52" t="n">
        <x:v>235</x:v>
      </x:c>
      <x:c r="O32" s="52" t="n">
        <x:v>22</x:v>
      </x:c>
      <x:c r="P32" s="46" t="str">
        <x:v>M</x:v>
      </x:c>
      <x:c r="Q32" s="46" t="str">
        <x:v>Single or modular framed panel</x:v>
      </x:c>
      <x:c r="R32" s="46" t="str">
        <x:v>PLA</x:v>
      </x:c>
      <x:c r="S32" s="46" t="str">
        <x:v>Optional printed frame</x:v>
      </x:c>
      <x:c r="T32" s="46" t="str">
        <x:v>Core 250 mm</x:v>
      </x:c>
      <x:c r="U32" s="46" t="str">
        <x:v>No</x:v>
      </x:c>
      <x:c r="V32" s="46" t="str">
        <x:v>None</x:v>
      </x:c>
      <x:c r="W32" s="52" t="n">
        <x:v>2</x:v>
      </x:c>
      <x:c r="X32" s="46" t="str">
        <x:v>Location, crop, labels, wall size, frame style</x:v>
      </x:c>
      <x:c r="Y32" s="46" t="str">
        <x:v>Map layers, road width, skyline, caption, tile split</x:v>
      </x:c>
      <x:c r="Z32" s="46" t="str">
        <x:v>Data-license check, small-feature print test, mount fit</x:v>
      </x:c>
      <x:c r="AA32" s="46" t="str">
        <x:v>Decorative representation; not navigation</x:v>
      </x:c>
      <x:c r="AB32" s="46" t="str">
        <x:v>GPSR standard + data/IP workflow</x:v>
      </x:c>
      <x:c r="AC32" s="52" t="n">
        <x:v>2</x:v>
      </x:c>
      <x:c r="AD32" s="46" t="str">
        <x:v>No</x:v>
      </x:c>
      <x:c r="AE32" s="46" t="str">
        <x:v>No</x:v>
      </x:c>
      <x:c r="AF32" s="46" t="str">
        <x:v>No</x:v>
      </x:c>
      <x:c r="AG32" s="46" t="str">
        <x:v>Light duty</x:v>
      </x:c>
      <x:c r="AH32" s="46" t="str">
        <x:v>Ready</x:v>
      </x:c>
      <x:c r="AI32" s="46" t="str">
        <x:v>Licensed/open map data + own design</x:v>
      </x:c>
      <x:c r="AJ32" s="46" t="str">
        <x:v>Data license and attribution required</x:v>
      </x:c>
      <x:c r="AK32" s="50" t="n">
        <x:v>14.9</x:v>
      </x:c>
      <x:c r="AL32" s="50" t="n">
        <x:f>'Unit Economics'!R32</x:f>
        <x:v>24.171280000000003</x:v>
      </x:c>
      <x:c r="AM32" s="50" t="n">
        <x:f>'Unit Economics'!V32</x:f>
        <x:v>71.99499999999999</x:v>
      </x:c>
      <x:c r="AN32" s="54" t="n">
        <x:f>'Unit Economics'!Y32</x:f>
        <x:v>0.5504747107438016</x:v>
      </x:c>
      <x:c r="AO32" s="48" t="n">
        <x:f>ROUND(H32*Assumptions!$B$39+I32*20*Assumptions!$B$40+J32*20*Assumptions!$B$41+K32*20*Assumptions!$B$42+L32*20*Assumptions!$B$43+(6-AC32)*20*Assumptions!$B$44,1)</x:f>
        <x:v>91.5</x:v>
      </x:c>
      <x:c r="AP32" s="46" t="str">
        <x:f>IF(OR(AC32&gt;=4,AD32="Yes",AE32="Yes",AF32="Complete electrical"),"Specialist / Hold",IF(AND(AO32&gt;=92,AH32="Ready",AC32&lt;=2),"Wave 1",IF(AO32&gt;=82,"Wave 2","Wave 3")))</x:f>
        <x:v>Wave 2</x:v>
      </x:c>
      <x:c r="AQ32" s="46" t="str">
        <x:v>S01; S02; S03; S04; S11; S16</x:v>
      </x:c>
      <x:c r="AR32" s="46" t="str">
        <x:v>Backlog</x:v>
      </x:c>
      <x:c r="AS32" s="46" t="str">
        <x:v>Define open-data pipeline and attribution placement</x:v>
      </x:c>
      <x:c r="AT32" s="46" t="str"/>
    </x:row>
    <x:row r="33" ht="42" customHeight="1">
      <x:c r="A33" s="46" t="str">
        <x:v>SKU-032</x:v>
      </x:c>
      <x:c r="B33" s="46" t="str">
        <x:v>Custom topographic relief tile</x:v>
      </x:c>
      <x:c r="C33" s="46" t="str">
        <x:v>3D wall art, reliefs &amp; gallery panels</x:v>
      </x:c>
      <x:c r="D33" s="46" t="n">
        <x:v>10</x:v>
      </x:c>
      <x:c r="E33" s="46" t="str">
        <x:v>Turn a chosen location into a sized 3D terrain or contour wall tile.</x:v>
      </x:c>
      <x:c r="F33" s="46" t="str">
        <x:v>Travel gifts, hikers and interior decor buyers</x:v>
      </x:c>
      <x:c r="G33" s="46" t="str">
        <x:v>Etsy reports wall-art decor searches up 110%; wall art also appears in 2026 ecommerce trend lists.</x:v>
      </x:c>
      <x:c r="H33" s="52" t="n">
        <x:v>85</x:v>
      </x:c>
      <x:c r="I33" s="52" t="n">
        <x:v>5</x:v>
      </x:c>
      <x:c r="J33" s="52" t="n">
        <x:v>5</x:v>
      </x:c>
      <x:c r="K33" s="52" t="n">
        <x:v>5</x:v>
      </x:c>
      <x:c r="L33" s="52" t="n">
        <x:v>4</x:v>
      </x:c>
      <x:c r="M33" s="52" t="n">
        <x:v>235</x:v>
      </x:c>
      <x:c r="N33" s="52" t="n">
        <x:v>235</x:v>
      </x:c>
      <x:c r="O33" s="52" t="n">
        <x:v>28</x:v>
      </x:c>
      <x:c r="P33" s="46" t="str">
        <x:v>M</x:v>
      </x:c>
      <x:c r="Q33" s="46" t="str">
        <x:v>Single or modular tiles</x:v>
      </x:c>
      <x:c r="R33" s="46" t="str">
        <x:v>PLA</x:v>
      </x:c>
      <x:c r="S33" s="46" t="str">
        <x:v>Optional hanging hardware</x:v>
      </x:c>
      <x:c r="T33" s="46" t="str">
        <x:v>Core 250 mm</x:v>
      </x:c>
      <x:c r="U33" s="46" t="str">
        <x:v>No</x:v>
      </x:c>
      <x:c r="V33" s="46" t="str">
        <x:v>None</x:v>
      </x:c>
      <x:c r="W33" s="52" t="n">
        <x:v>2</x:v>
      </x:c>
      <x:c r="X33" s="46" t="str">
        <x:v>Location/bounds, wall size, relief depth, labels</x:v>
      </x:c>
      <x:c r="Y33" s="46" t="str">
        <x:v>Map extent, vertical scale, frame, text, tile split</x:v>
      </x:c>
      <x:c r="Z33" s="46" t="str">
        <x:v>Mesh integrity, label legibility, mount fit and weight</x:v>
      </x:c>
      <x:c r="AA33" s="46" t="str">
        <x:v>Decorative map; not for navigation or surveying</x:v>
      </x:c>
      <x:c r="AB33" s="46" t="str">
        <x:v>GPSR standard + wall-mount review</x:v>
      </x:c>
      <x:c r="AC33" s="52" t="n">
        <x:v>2</x:v>
      </x:c>
      <x:c r="AD33" s="46" t="str">
        <x:v>No</x:v>
      </x:c>
      <x:c r="AE33" s="46" t="str">
        <x:v>No</x:v>
      </x:c>
      <x:c r="AF33" s="46" t="str">
        <x:v>No</x:v>
      </x:c>
      <x:c r="AG33" s="46" t="str">
        <x:v>Light duty</x:v>
      </x:c>
      <x:c r="AH33" s="46" t="str">
        <x:v>Ready</x:v>
      </x:c>
      <x:c r="AI33" s="46" t="str">
        <x:v>Own generated geometry; data-source license tracked</x:v>
      </x:c>
      <x:c r="AJ33" s="46" t="str">
        <x:v>Data/license review required</x:v>
      </x:c>
      <x:c r="AK33" s="50" t="n">
        <x:v>14.9</x:v>
      </x:c>
      <x:c r="AL33" s="50" t="n">
        <x:f>'Unit Economics'!R33</x:f>
        <x:v>20.123669999999997</x:v>
      </x:c>
      <x:c r="AM33" s="50" t="n">
        <x:f>'Unit Economics'!V33</x:f>
        <x:v>60.095</x:v>
      </x:c>
      <x:c r="AN33" s="54" t="n">
        <x:f>'Unit Economics'!Y33</x:f>
        <x:v>0.5515114851485149</x:v>
      </x:c>
      <x:c r="AO33" s="48" t="n">
        <x:f>ROUND(H33*Assumptions!$B$39+I33*20*Assumptions!$B$40+J33*20*Assumptions!$B$41+K33*20*Assumptions!$B$42+L33*20*Assumptions!$B$43+(6-AC33)*20*Assumptions!$B$44,1)</x:f>
        <x:v>91.5</x:v>
      </x:c>
      <x:c r="AP33" s="46" t="str">
        <x:f>IF(OR(AC33&gt;=4,AD33="Yes",AE33="Yes",AF33="Complete electrical"),"Specialist / Hold",IF(AND(AO33&gt;=92,AH33="Ready",AC33&lt;=2),"Wave 1",IF(AO33&gt;=82,"Wave 2","Wave 3")))</x:f>
        <x:v>Wave 2</x:v>
      </x:c>
      <x:c r="AQ33" s="46" t="str">
        <x:v>S01; S02; S03; S04; S11; S16</x:v>
      </x:c>
      <x:c r="AR33" s="46" t="str">
        <x:v>Backlog</x:v>
      </x:c>
      <x:c r="AS33" s="46" t="str">
        <x:v>Establish approved map-data sources and attribution rules</x:v>
      </x:c>
      <x:c r="AT33" s="46" t="str"/>
    </x:row>
    <x:row r="34" ht="42" customHeight="1">
      <x:c r="A34" s="46" t="str">
        <x:v>SKU-033</x:v>
      </x:c>
      <x:c r="B34" s="46" t="str">
        <x:v>Modular botanical relief set</x:v>
      </x:c>
      <x:c r="C34" s="46" t="str">
        <x:v>3D wall art, reliefs &amp; gallery panels</x:v>
      </x:c>
      <x:c r="D34" s="46" t="n">
        <x:v>10</x:v>
      </x:c>
      <x:c r="E34" s="46" t="str">
        <x:v>Create a coordinated set of textured botanical panels sized to a wall.</x:v>
      </x:c>
      <x:c r="F34" s="46" t="str">
        <x:v>Home decor, offices and hospitality</x:v>
      </x:c>
      <x:c r="G34" s="46" t="str">
        <x:v>Etsy reports wall-art decor searches up 110%; wall art also appears in 2026 ecommerce trend lists.</x:v>
      </x:c>
      <x:c r="H34" s="52" t="n">
        <x:v>85</x:v>
      </x:c>
      <x:c r="I34" s="52" t="n">
        <x:v>5</x:v>
      </x:c>
      <x:c r="J34" s="52" t="n">
        <x:v>5</x:v>
      </x:c>
      <x:c r="K34" s="52" t="n">
        <x:v>5</x:v>
      </x:c>
      <x:c r="L34" s="52" t="n">
        <x:v>4</x:v>
      </x:c>
      <x:c r="M34" s="52" t="n">
        <x:v>235</x:v>
      </x:c>
      <x:c r="N34" s="52" t="n">
        <x:v>235</x:v>
      </x:c>
      <x:c r="O34" s="52" t="n">
        <x:v>24</x:v>
      </x:c>
      <x:c r="P34" s="46" t="str">
        <x:v>M</x:v>
      </x:c>
      <x:c r="Q34" s="46" t="str">
        <x:v>Three- to six-tile set</x:v>
      </x:c>
      <x:c r="R34" s="46" t="str">
        <x:v>PLA</x:v>
      </x:c>
      <x:c r="S34" s="46" t="str">
        <x:v>Mounting strips or screws</x:v>
      </x:c>
      <x:c r="T34" s="46" t="str">
        <x:v>Core 250 mm</x:v>
      </x:c>
      <x:c r="U34" s="46" t="str">
        <x:v>No</x:v>
      </x:c>
      <x:c r="V34" s="46" t="str">
        <x:v>None</x:v>
      </x:c>
      <x:c r="W34" s="52" t="n">
        <x:v>2</x:v>
      </x:c>
      <x:c r="X34" s="46" t="str">
        <x:v>Wall area, tile count, botanical style, color</x:v>
      </x:c>
      <x:c r="Y34" s="46" t="str">
        <x:v>Tile dimensions, motif, depth, edge alignment</x:v>
      </x:c>
      <x:c r="Z34" s="46" t="str">
        <x:v>Tile alignment, mount adhesion/fastener, visual inspection</x:v>
      </x:c>
      <x:c r="AA34" s="46" t="str">
        <x:v>Decorative only; not acoustic treatment unless separately tested</x:v>
      </x:c>
      <x:c r="AB34" s="46" t="str">
        <x:v>GPSR standard + wall-mount review</x:v>
      </x:c>
      <x:c r="AC34" s="52" t="n">
        <x:v>2</x:v>
      </x:c>
      <x:c r="AD34" s="46" t="str">
        <x:v>No</x:v>
      </x:c>
      <x:c r="AE34" s="46" t="str">
        <x:v>No</x:v>
      </x:c>
      <x:c r="AF34" s="46" t="str">
        <x:v>No</x:v>
      </x:c>
      <x:c r="AG34" s="46" t="str">
        <x:v>Light duty</x:v>
      </x:c>
      <x:c r="AH34" s="46" t="str">
        <x:v>Ready</x:v>
      </x:c>
      <x:c r="AI34" s="46" t="str">
        <x:v>Own/commissioned original artwork</x:v>
      </x:c>
      <x:c r="AJ34" s="46" t="str">
        <x:v>No—own or commissioned art</x:v>
      </x:c>
      <x:c r="AK34" s="50" t="n">
        <x:v>14.9</x:v>
      </x:c>
      <x:c r="AL34" s="50" t="n">
        <x:f>'Unit Economics'!R34</x:f>
        <x:v>36.50276</x:v>
      </x:c>
      <x:c r="AM34" s="50" t="n">
        <x:f>'Unit Economics'!V34</x:f>
        <x:v>108.88499999999999</x:v>
      </x:c>
      <x:c r="AN34" s="54" t="n">
        <x:f>'Unit Economics'!Y34</x:f>
        <x:v>0.5510627322404371</x:v>
      </x:c>
      <x:c r="AO34" s="48" t="n">
        <x:f>ROUND(H34*Assumptions!$B$39+I34*20*Assumptions!$B$40+J34*20*Assumptions!$B$41+K34*20*Assumptions!$B$42+L34*20*Assumptions!$B$43+(6-AC34)*20*Assumptions!$B$44,1)</x:f>
        <x:v>91.5</x:v>
      </x:c>
      <x:c r="AP34" s="46" t="str">
        <x:f>IF(OR(AC34&gt;=4,AD34="Yes",AE34="Yes",AF34="Complete electrical"),"Specialist / Hold",IF(AND(AO34&gt;=92,AH34="Ready",AC34&lt;=2),"Wave 1",IF(AO34&gt;=82,"Wave 2","Wave 3")))</x:f>
        <x:v>Wave 2</x:v>
      </x:c>
      <x:c r="AQ34" s="46" t="str">
        <x:v>S01; S02; S03; S04; S11; S16</x:v>
      </x:c>
      <x:c r="AR34" s="46" t="str">
        <x:v>Backlog</x:v>
      </x:c>
      <x:c r="AS34" s="46" t="str">
        <x:v>Commission first original motif collection</x:v>
      </x:c>
      <x:c r="AT34" s="46" t="str"/>
    </x:row>
    <x:row r="35" ht="42" customHeight="1">
      <x:c r="A35" s="46" t="str">
        <x:v>SKU-034</x:v>
      </x:c>
      <x:c r="B35" s="46" t="str">
        <x:v>Wedding or event table-number set</x:v>
      </x:c>
      <x:c r="C35" s="46" t="str">
        <x:v>Personalized signs, house numbers &amp; event decor</x:v>
      </x:c>
      <x:c r="D35" s="46" t="n">
        <x:v>11</x:v>
      </x:c>
      <x:c r="E35" s="46" t="str">
        <x:v>Generate a coordinated set of table numbers in the event's style.</x:v>
      </x:c>
      <x:c r="F35" s="46" t="str">
        <x:v>Weddings, parties and event planners</x:v>
      </x:c>
      <x:c r="G35" s="46" t="str">
        <x:v>Personalized gifting and 2026 celebration/party-decor growth support made-to-order signage.</x:v>
      </x:c>
      <x:c r="H35" s="52" t="n">
        <x:v>85</x:v>
      </x:c>
      <x:c r="I35" s="52" t="n">
        <x:v>5</x:v>
      </x:c>
      <x:c r="J35" s="52" t="n">
        <x:v>5</x:v>
      </x:c>
      <x:c r="K35" s="52" t="n">
        <x:v>5</x:v>
      </x:c>
      <x:c r="L35" s="52" t="n">
        <x:v>4</x:v>
      </x:c>
      <x:c r="M35" s="52" t="n">
        <x:v>185</x:v>
      </x:c>
      <x:c r="N35" s="52" t="n">
        <x:v>125</x:v>
      </x:c>
      <x:c r="O35" s="52" t="n">
        <x:v>18</x:v>
      </x:c>
      <x:c r="P35" s="46" t="str">
        <x:v>M</x:v>
      </x:c>
      <x:c r="Q35" s="46" t="str">
        <x:v>Numbered set; flat-pack bases</x:v>
      </x:c>
      <x:c r="R35" s="46" t="str">
        <x:v>PLA</x:v>
      </x:c>
      <x:c r="S35" s="46" t="str">
        <x:v>Optional acrylic/wood insert</x:v>
      </x:c>
      <x:c r="T35" s="46" t="str">
        <x:v>Core 250 mm</x:v>
      </x:c>
      <x:c r="U35" s="46" t="str">
        <x:v>No</x:v>
      </x:c>
      <x:c r="V35" s="46" t="str">
        <x:v>None</x:v>
      </x:c>
      <x:c r="W35" s="52" t="n">
        <x:v>2</x:v>
      </x:c>
      <x:c r="X35" s="46" t="str">
        <x:v>Number count, theme, font, colors, dimensions</x:v>
      </x:c>
      <x:c r="Y35" s="46" t="str">
        <x:v>Number text, motif, base slot, batch labels</x:v>
      </x:c>
      <x:c r="Z35" s="46" t="str">
        <x:v>Batch completeness, base fit, legibility, tip test</x:v>
      </x:c>
      <x:c r="AA35" s="46" t="str">
        <x:v>Decorative event product; keep small detachable parts away from young children</x:v>
      </x:c>
      <x:c r="AB35" s="46" t="str">
        <x:v>GPSR standard + batch/QC workflow</x:v>
      </x:c>
      <x:c r="AC35" s="52" t="n">
        <x:v>2</x:v>
      </x:c>
      <x:c r="AD35" s="46" t="str">
        <x:v>No</x:v>
      </x:c>
      <x:c r="AE35" s="46" t="str">
        <x:v>Potential</x:v>
      </x:c>
      <x:c r="AF35" s="46" t="str">
        <x:v>No</x:v>
      </x:c>
      <x:c r="AG35" s="46" t="str">
        <x:v>No</x:v>
      </x:c>
      <x:c r="AH35" s="46" t="str">
        <x:v>Ready</x:v>
      </x:c>
      <x:c r="AI35" s="46" t="str">
        <x:v>Own/commissioned art; licensed fonts</x:v>
      </x:c>
      <x:c r="AJ35" s="46" t="str">
        <x:v>Rights tracked for fonts/motifs</x:v>
      </x:c>
      <x:c r="AK35" s="50" t="n">
        <x:v>14.9</x:v>
      </x:c>
      <x:c r="AL35" s="50" t="n">
        <x:f>'Unit Economics'!R35</x:f>
        <x:v>59.62404000000001</x:v>
      </x:c>
      <x:c r="AM35" s="50" t="n">
        <x:f>'Unit Economics'!V35</x:f>
        <x:v>177.905</x:v>
      </x:c>
      <x:c r="AN35" s="54" t="n">
        <x:f>'Unit Economics'!Y35</x:f>
        <x:v>0.5511769899665552</x:v>
      </x:c>
      <x:c r="AO35" s="48" t="n">
        <x:f>ROUND(H35*Assumptions!$B$39+I35*20*Assumptions!$B$40+J35*20*Assumptions!$B$41+K35*20*Assumptions!$B$42+L35*20*Assumptions!$B$43+(6-AC35)*20*Assumptions!$B$44,1)</x:f>
        <x:v>91.5</x:v>
      </x:c>
      <x:c r="AP35" s="46" t="str">
        <x:f>IF(OR(AC35&gt;=4,AD35="Yes",AE35="Yes",AF35="Complete electrical"),"Specialist / Hold",IF(AND(AO35&gt;=92,AH35="Ready",AC35&lt;=2),"Wave 1",IF(AO35&gt;=82,"Wave 2","Wave 3")))</x:f>
        <x:v>Wave 2</x:v>
      </x:c>
      <x:c r="AQ35" s="46" t="str">
        <x:v>S01; S04; S11; S16; S24</x:v>
      </x:c>
      <x:c r="AR35" s="46" t="str">
        <x:v>Backlog</x:v>
      </x:c>
      <x:c r="AS35" s="46" t="str">
        <x:v>Create batch generator and packing/QC checklist</x:v>
      </x:c>
      <x:c r="AT35" s="46" t="str"/>
    </x:row>
    <x:row r="36" ht="42" customHeight="1">
      <x:c r="A36" s="46" t="str">
        <x:v>SKU-035</x:v>
      </x:c>
      <x:c r="B36" s="46" t="str">
        <x:v>Under-monitor snap-in drawer</x:v>
      </x:c>
      <x:c r="C36" s="46" t="str">
        <x:v>Custom desk &amp; drawer organizers</x:v>
      </x:c>
      <x:c r="D36" s="46" t="n">
        <x:v>1</x:v>
      </x:c>
      <x:c r="E36" s="46" t="str">
        <x:v>Add a fitted low-profile drawer below a monitor stand or shelf.</x:v>
      </x:c>
      <x:c r="F36" s="46" t="str">
        <x:v>Home-office and gaming desks</x:v>
      </x:c>
      <x:c r="G36" s="46" t="str">
        <x:v>Home-office refresh and organization demand; exact-fit customization creates clear additive advantage.</x:v>
      </x:c>
      <x:c r="H36" s="52" t="n">
        <x:v>94</x:v>
      </x:c>
      <x:c r="I36" s="52" t="n">
        <x:v>5</x:v>
      </x:c>
      <x:c r="J36" s="52" t="n">
        <x:v>5</x:v>
      </x:c>
      <x:c r="K36" s="52" t="n">
        <x:v>4</x:v>
      </x:c>
      <x:c r="L36" s="52" t="n">
        <x:v>4</x:v>
      </x:c>
      <x:c r="M36" s="52" t="n">
        <x:v>220</x:v>
      </x:c>
      <x:c r="N36" s="52" t="n">
        <x:v>160</x:v>
      </x:c>
      <x:c r="O36" s="52" t="n">
        <x:v>35</x:v>
      </x:c>
      <x:c r="P36" s="46" t="str">
        <x:v>M</x:v>
      </x:c>
      <x:c r="Q36" s="46" t="str">
        <x:v>Drawer + rail pair</x:v>
      </x:c>
      <x:c r="R36" s="46" t="str">
        <x:v>PETG</x:v>
      </x:c>
      <x:c r="S36" s="46" t="str">
        <x:v>Optional screws/adhesive</x:v>
      </x:c>
      <x:c r="T36" s="46" t="str">
        <x:v>Core 250 mm</x:v>
      </x:c>
      <x:c r="U36" s="46" t="str">
        <x:v>No</x:v>
      </x:c>
      <x:c r="V36" s="46" t="str">
        <x:v>None</x:v>
      </x:c>
      <x:c r="W36" s="52" t="n">
        <x:v>3</x:v>
      </x:c>
      <x:c r="X36" s="46" t="str">
        <x:v>Shelf thickness, underside clearance, desired drawer size</x:v>
      </x:c>
      <x:c r="Y36" s="46" t="str">
        <x:v>Rail spacing, stop geometry, handle, mounting holes</x:v>
      </x:c>
      <x:c r="Z36" s="46" t="str">
        <x:v>Cycle test, pull-out stop, fastener test, heat clearance</x:v>
      </x:c>
      <x:c r="AA36" s="46" t="str">
        <x:v>Light storage only; not under hot electronics vents</x:v>
      </x:c>
      <x:c r="AB36" s="46" t="str">
        <x:v>GPSR + light-duty mounting validation</x:v>
      </x:c>
      <x:c r="AC36" s="52" t="n">
        <x:v>2</x:v>
      </x:c>
      <x:c r="AD36" s="46" t="str">
        <x:v>No</x:v>
      </x:c>
      <x:c r="AE36" s="46" t="str">
        <x:v>No</x:v>
      </x:c>
      <x:c r="AF36" s="46" t="str">
        <x:v>Accessory only</x:v>
      </x:c>
      <x:c r="AG36" s="46" t="str">
        <x:v>Light duty</x:v>
      </x:c>
      <x:c r="AH36" s="46" t="str">
        <x:v>Guided</x:v>
      </x:c>
      <x:c r="AI36" s="46" t="str">
        <x:v>Own parametric CAD</x:v>
      </x:c>
      <x:c r="AJ36" s="46" t="str">
        <x:v>No—own design</x:v>
      </x:c>
      <x:c r="AK36" s="50" t="n">
        <x:v>12.9</x:v>
      </x:c>
      <x:c r="AL36" s="50" t="n">
        <x:f>'Unit Economics'!R36</x:f>
        <x:v>23.700039999999998</x:v>
      </x:c>
      <x:c r="AM36" s="50" t="n">
        <x:f>'Unit Economics'!V36</x:f>
        <x:v>70.80499999999999</x:v>
      </x:c>
      <x:c r="AN36" s="54" t="n">
        <x:f>'Unit Economics'!Y36</x:f>
        <x:v>0.55168</x:v>
      </x:c>
      <x:c r="AO36" s="48" t="n">
        <x:f>ROUND(H36*Assumptions!$B$39+I36*20*Assumptions!$B$40+J36*20*Assumptions!$B$41+K36*20*Assumptions!$B$42+L36*20*Assumptions!$B$43+(6-AC36)*20*Assumptions!$B$44,1)</x:f>
        <x:v>91.2</x:v>
      </x:c>
      <x:c r="AP36" s="46" t="str">
        <x:f>IF(OR(AC36&gt;=4,AD36="Yes",AE36="Yes",AF36="Complete electrical"),"Specialist / Hold",IF(AND(AO36&gt;=92,AH36="Ready",AC36&lt;=2),"Wave 1",IF(AO36&gt;=82,"Wave 2","Wave 3")))</x:f>
        <x:v>Wave 2</x:v>
      </x:c>
      <x:c r="AQ36" s="46" t="str">
        <x:v>S05; S06; S11; S19</x:v>
      </x:c>
      <x:c r="AR36" s="46" t="str">
        <x:v>Backlog</x:v>
      </x:c>
      <x:c r="AS36" s="46" t="str">
        <x:v>Run 500-cycle rail test and adhesive/screw variants</x:v>
      </x:c>
      <x:c r="AT36" s="46" t="str"/>
    </x:row>
    <x:row r="37" ht="42" customHeight="1">
      <x:c r="A37" s="46" t="str">
        <x:v>SKU-036</x:v>
      </x:c>
      <x:c r="B37" s="46" t="str">
        <x:v>Parametric under-desk cable raceway</x:v>
      </x:c>
      <x:c r="C37" s="46" t="str">
        <x:v>Cable-management systems</x:v>
      </x:c>
      <x:c r="D37" s="46" t="n">
        <x:v>2</x:v>
      </x:c>
      <x:c r="E37" s="46" t="str">
        <x:v>Route power and data cables under a desk with modules sized to the installation.</x:v>
      </x:c>
      <x:c r="F37" s="46" t="str">
        <x:v>Remote workers and small offices</x:v>
      </x:c>
      <x:c r="G37" s="46" t="str">
        <x:v>Aesthetic productivity and desk-setup demand, reinforced by active 3D-print cable-management ecosystems.</x:v>
      </x:c>
      <x:c r="H37" s="52" t="n">
        <x:v>94</x:v>
      </x:c>
      <x:c r="I37" s="52" t="n">
        <x:v>5</x:v>
      </x:c>
      <x:c r="J37" s="52" t="n">
        <x:v>5</x:v>
      </x:c>
      <x:c r="K37" s="52" t="n">
        <x:v>4</x:v>
      </x:c>
      <x:c r="L37" s="52" t="n">
        <x:v>4</x:v>
      </x:c>
      <x:c r="M37" s="52" t="n">
        <x:v>240</x:v>
      </x:c>
      <x:c r="N37" s="52" t="n">
        <x:v>80</x:v>
      </x:c>
      <x:c r="O37" s="52" t="n">
        <x:v>45</x:v>
      </x:c>
      <x:c r="P37" s="46" t="str">
        <x:v>M</x:v>
      </x:c>
      <x:c r="Q37" s="46" t="str">
        <x:v>Modular tray + clips</x:v>
      </x:c>
      <x:c r="R37" s="46" t="str">
        <x:v>PETG</x:v>
      </x:c>
      <x:c r="S37" s="46" t="str">
        <x:v>Certified screws or adhesive</x:v>
      </x:c>
      <x:c r="T37" s="46" t="str">
        <x:v>Core 250 mm</x:v>
      </x:c>
      <x:c r="U37" s="46" t="str">
        <x:v>No</x:v>
      </x:c>
      <x:c r="V37" s="46" t="str">
        <x:v>None</x:v>
      </x:c>
      <x:c r="W37" s="52" t="n">
        <x:v>2</x:v>
      </x:c>
      <x:c r="X37" s="46" t="str">
        <x:v>Desk underside area, cable bundle size, fastener preference</x:v>
      </x:c>
      <x:c r="Y37" s="46" t="str">
        <x:v>Module length, bend radius, lid style, mounting holes</x:v>
      </x:c>
      <x:c r="Z37" s="46" t="str">
        <x:v>Fastener pull test, lid cycles, cable bend/pinch inspection</x:v>
      </x:c>
      <x:c r="AA37" s="46" t="str">
        <x:v>Passive cable support only; no enclosed mains connections</x:v>
      </x:c>
      <x:c r="AB37" s="46" t="str">
        <x:v>GPSR + light-duty mounting validation</x:v>
      </x:c>
      <x:c r="AC37" s="52" t="n">
        <x:v>2</x:v>
      </x:c>
      <x:c r="AD37" s="46" t="str">
        <x:v>No</x:v>
      </x:c>
      <x:c r="AE37" s="46" t="str">
        <x:v>No</x:v>
      </x:c>
      <x:c r="AF37" s="46" t="str">
        <x:v>Accessory only</x:v>
      </x:c>
      <x:c r="AG37" s="46" t="str">
        <x:v>Light duty</x:v>
      </x:c>
      <x:c r="AH37" s="46" t="str">
        <x:v>Guided</x:v>
      </x:c>
      <x:c r="AI37" s="46" t="str">
        <x:v>Own parametric CAD</x:v>
      </x:c>
      <x:c r="AJ37" s="46" t="str">
        <x:v>No—own design</x:v>
      </x:c>
      <x:c r="AK37" s="50" t="n">
        <x:v>12.9</x:v>
      </x:c>
      <x:c r="AL37" s="50" t="n">
        <x:f>'Unit Economics'!R37</x:f>
        <x:v>21.14427</x:v>
      </x:c>
      <x:c r="AM37" s="50" t="n">
        <x:f>'Unit Economics'!V37</x:f>
        <x:v>63.07</x:v>
      </x:c>
      <x:c r="AN37" s="54" t="n">
        <x:f>'Unit Economics'!Y37</x:f>
        <x:v>0.5510515094339623</x:v>
      </x:c>
      <x:c r="AO37" s="48" t="n">
        <x:f>ROUND(H37*Assumptions!$B$39+I37*20*Assumptions!$B$40+J37*20*Assumptions!$B$41+K37*20*Assumptions!$B$42+L37*20*Assumptions!$B$43+(6-AC37)*20*Assumptions!$B$44,1)</x:f>
        <x:v>91.2</x:v>
      </x:c>
      <x:c r="AP37" s="46" t="str">
        <x:f>IF(OR(AC37&gt;=4,AD37="Yes",AE37="Yes",AF37="Complete electrical"),"Specialist / Hold",IF(AND(AO37&gt;=92,AH37="Ready",AC37&lt;=2),"Wave 1",IF(AO37&gt;=82,"Wave 2","Wave 3")))</x:f>
        <x:v>Wave 2</x:v>
      </x:c>
      <x:c r="AQ37" s="46" t="str">
        <x:v>S05; S09; S11; S19</x:v>
      </x:c>
      <x:c r="AR37" s="46" t="str">
        <x:v>Backlog</x:v>
      </x:c>
      <x:c r="AS37" s="46" t="str">
        <x:v>Validate screw and adhesive mounting configurations</x:v>
      </x:c>
      <x:c r="AT37" s="46" t="str"/>
    </x:row>
    <x:row r="38" ht="42" customHeight="1">
      <x:c r="A38" s="46" t="str">
        <x:v>SKU-037</x:v>
      </x:c>
      <x:c r="B38" s="46" t="str">
        <x:v>Soap dish with removable drain tray</x:v>
      </x:c>
      <x:c r="C38" s="46" t="str">
        <x:v>Bathroom &amp; shower organizers</x:v>
      </x:c>
      <x:c r="D38" s="46" t="n">
        <x:v>13</x:v>
      </x:c>
      <x:c r="E38" s="46" t="str">
        <x:v>Keep a soap bar dry in a dish sized to the product and sink area.</x:v>
      </x:c>
      <x:c r="F38" s="46" t="str">
        <x:v>General bathroom users and gifts</x:v>
      </x:c>
      <x:c r="G38" s="46" t="str">
        <x:v>July 2026 marketplace analytics show strong bathroom-organization demand and concentrated price bands.</x:v>
      </x:c>
      <x:c r="H38" s="52" t="n">
        <x:v>80</x:v>
      </x:c>
      <x:c r="I38" s="52" t="n">
        <x:v>5</x:v>
      </x:c>
      <x:c r="J38" s="52" t="n">
        <x:v>4</x:v>
      </x:c>
      <x:c r="K38" s="52" t="n">
        <x:v>5</x:v>
      </x:c>
      <x:c r="L38" s="52" t="n">
        <x:v>5</x:v>
      </x:c>
      <x:c r="M38" s="52" t="n">
        <x:v>145</x:v>
      </x:c>
      <x:c r="N38" s="52" t="n">
        <x:v>105</x:v>
      </x:c>
      <x:c r="O38" s="52" t="n">
        <x:v>35</x:v>
      </x:c>
      <x:c r="P38" s="46" t="str">
        <x:v>M</x:v>
      </x:c>
      <x:c r="Q38" s="46" t="str">
        <x:v>Top grate + drip tray</x:v>
      </x:c>
      <x:c r="R38" s="46" t="str">
        <x:v>PETG</x:v>
      </x:c>
      <x:c r="S38" s="46" t="str">
        <x:v>Optional feet</x:v>
      </x:c>
      <x:c r="T38" s="46" t="str">
        <x:v>Core 250 mm</x:v>
      </x:c>
      <x:c r="U38" s="46" t="str">
        <x:v>No</x:v>
      </x:c>
      <x:c r="V38" s="46" t="str">
        <x:v>None</x:v>
      </x:c>
      <x:c r="W38" s="52" t="n">
        <x:v>1</x:v>
      </x:c>
      <x:c r="X38" s="46" t="str">
        <x:v>Soap dimensions, sink footprint, drainage direction</x:v>
      </x:c>
      <x:c r="Y38" s="46" t="str">
        <x:v>Dish size, slot pattern, tray depth, feet</x:v>
      </x:c>
      <x:c r="Z38" s="46" t="str">
        <x:v>Drainage, stability, cleanability and edge check</x:v>
      </x:c>
      <x:c r="AA38" s="46" t="str">
        <x:v>Bathroom use; clean regularly; not a food-contact article</x:v>
      </x:c>
      <x:c r="AB38" s="46" t="str">
        <x:v>GPSR standard + cleanability review</x:v>
      </x:c>
      <x:c r="AC38" s="52" t="n">
        <x:v>1</x:v>
      </x:c>
      <x:c r="AD38" s="46" t="str">
        <x:v>No</x:v>
      </x:c>
      <x:c r="AE38" s="46" t="str">
        <x:v>No</x:v>
      </x:c>
      <x:c r="AF38" s="46" t="str">
        <x:v>No</x:v>
      </x:c>
      <x:c r="AG38" s="46" t="str">
        <x:v>No</x:v>
      </x:c>
      <x:c r="AH38" s="46" t="str">
        <x:v>Ready</x:v>
      </x:c>
      <x:c r="AI38" s="46" t="str">
        <x:v>Own CAD and texture assets</x:v>
      </x:c>
      <x:c r="AJ38" s="46" t="str">
        <x:v>No—own design</x:v>
      </x:c>
      <x:c r="AK38" s="50" t="n">
        <x:v>5.9</x:v>
      </x:c>
      <x:c r="AL38" s="50" t="n">
        <x:f>'Unit Economics'!R38</x:f>
        <x:v>9.543239999999999</x:v>
      </x:c>
      <x:c r="AM38" s="50" t="n">
        <x:f>'Unit Economics'!V38</x:f>
        <x:v>28.56</x:v>
      </x:c>
      <x:c r="AN38" s="54" t="n">
        <x:f>'Unit Economics'!Y38</x:f>
        <x:v>0.552365</x:v>
      </x:c>
      <x:c r="AO38" s="48" t="n">
        <x:f>ROUND(H38*Assumptions!$B$39+I38*20*Assumptions!$B$40+J38*20*Assumptions!$B$41+K38*20*Assumptions!$B$42+L38*20*Assumptions!$B$43+(6-AC38)*20*Assumptions!$B$44,1)</x:f>
        <x:v>91</x:v>
      </x:c>
      <x:c r="AP38" s="46" t="str">
        <x:f>IF(OR(AC38&gt;=4,AD38="Yes",AE38="Yes",AF38="Complete electrical"),"Specialist / Hold",IF(AND(AO38&gt;=92,AH38="Ready",AC38&lt;=2),"Wave 1",IF(AO38&gt;=82,"Wave 2","Wave 3")))</x:f>
        <x:v>Wave 2</x:v>
      </x:c>
      <x:c r="AQ38" s="46" t="str">
        <x:v>S07; S11; S19</x:v>
      </x:c>
      <x:c r="AR38" s="46" t="str">
        <x:v>Backlog</x:v>
      </x:c>
      <x:c r="AS38" s="46" t="str">
        <x:v>Create fast-print family with three sizes</x:v>
      </x:c>
      <x:c r="AT38" s="46" t="str"/>
    </x:row>
    <x:row r="39" ht="42" customHeight="1">
      <x:c r="A39" s="46" t="str">
        <x:v>SKU-038</x:v>
      </x:c>
      <x:c r="B39" s="46" t="str">
        <x:v>Generic tabletop card-holder set</x:v>
      </x:c>
      <x:c r="C39" s="46" t="str">
        <x:v>Board-game inserts, card holders &amp; dice towers</x:v>
      </x:c>
      <x:c r="D39" s="46" t="n">
        <x:v>18</x:v>
      </x:c>
      <x:c r="E39" s="46" t="str">
        <x:v>Hold cards at readable angles for one or more adult players.</x:v>
      </x:c>
      <x:c r="F39" s="46" t="str">
        <x:v>Adult tabletop gamers and accessibility users</x:v>
      </x:c>
      <x:c r="G39" s="46" t="str">
        <x:v>Analog hobby revival and social activity trends support adult tabletop accessories.</x:v>
      </x:c>
      <x:c r="H39" s="52" t="n">
        <x:v>76</x:v>
      </x:c>
      <x:c r="I39" s="52" t="n">
        <x:v>5</x:v>
      </x:c>
      <x:c r="J39" s="52" t="n">
        <x:v>5</x:v>
      </x:c>
      <x:c r="K39" s="52" t="n">
        <x:v>5</x:v>
      </x:c>
      <x:c r="L39" s="52" t="n">
        <x:v>5</x:v>
      </x:c>
      <x:c r="M39" s="52" t="n">
        <x:v>225</x:v>
      </x:c>
      <x:c r="N39" s="52" t="n">
        <x:v>65</x:v>
      </x:c>
      <x:c r="O39" s="52" t="n">
        <x:v>48</x:v>
      </x:c>
      <x:c r="P39" s="46" t="str">
        <x:v>M</x:v>
      </x:c>
      <x:c r="Q39" s="46" t="str">
        <x:v>Set of holders or modular rail</x:v>
      </x:c>
      <x:c r="R39" s="46" t="str">
        <x:v>PLA</x:v>
      </x:c>
      <x:c r="S39" s="46" t="str">
        <x:v>Optional felt feet</x:v>
      </x:c>
      <x:c r="T39" s="46" t="str">
        <x:v>Core 250 mm</x:v>
      </x:c>
      <x:c r="U39" s="46" t="str">
        <x:v>No</x:v>
      </x:c>
      <x:c r="V39" s="46" t="str">
        <x:v>None</x:v>
      </x:c>
      <x:c r="W39" s="52" t="n">
        <x:v>1</x:v>
      </x:c>
      <x:c r="X39" s="46" t="str">
        <x:v>Card/sleeve thickness, player count, holder length</x:v>
      </x:c>
      <x:c r="Y39" s="46" t="str">
        <x:v>Slot width, angle, rail length, connectors</x:v>
      </x:c>
      <x:c r="Z39" s="46" t="str">
        <x:v>Card fit, tip/slip test, edge check</x:v>
      </x:c>
      <x:c r="AA39" s="46" t="str">
        <x:v>Generic adult tabletop accessory; classify before children's marketing</x:v>
      </x:c>
      <x:c r="AB39" s="46" t="str">
        <x:v>GPSR standard + toy-classification screen</x:v>
      </x:c>
      <x:c r="AC39" s="52" t="n">
        <x:v>2</x:v>
      </x:c>
      <x:c r="AD39" s="46" t="str">
        <x:v>No</x:v>
      </x:c>
      <x:c r="AE39" s="46" t="str">
        <x:v>Potential</x:v>
      </x:c>
      <x:c r="AF39" s="46" t="str">
        <x:v>No</x:v>
      </x:c>
      <x:c r="AG39" s="46" t="str">
        <x:v>No</x:v>
      </x:c>
      <x:c r="AH39" s="46" t="str">
        <x:v>Ready</x:v>
      </x:c>
      <x:c r="AI39" s="46" t="str">
        <x:v>Own generic CAD; no game branding</x:v>
      </x:c>
      <x:c r="AJ39" s="46" t="str">
        <x:v>No—own design</x:v>
      </x:c>
      <x:c r="AK39" s="50" t="n">
        <x:v>8.9</x:v>
      </x:c>
      <x:c r="AL39" s="50" t="n">
        <x:f>'Unit Economics'!R39</x:f>
        <x:v>16.483040000000003</x:v>
      </x:c>
      <x:c r="AM39" s="50" t="n">
        <x:f>'Unit Economics'!V39</x:f>
        <x:v>49.385</x:v>
      </x:c>
      <x:c r="AN39" s="54" t="n">
        <x:f>'Unit Economics'!Y39</x:f>
        <x:v>0.552818313253012</x:v>
      </x:c>
      <x:c r="AO39" s="48" t="n">
        <x:f>ROUND(H39*Assumptions!$B$39+I39*20*Assumptions!$B$40+J39*20*Assumptions!$B$41+K39*20*Assumptions!$B$42+L39*20*Assumptions!$B$43+(6-AC39)*20*Assumptions!$B$44,1)</x:f>
        <x:v>90.8</x:v>
      </x:c>
      <x:c r="AP39" s="46" t="str">
        <x:f>IF(OR(AC39&gt;=4,AD39="Yes",AE39="Yes",AF39="Complete electrical"),"Specialist / Hold",IF(AND(AO39&gt;=92,AH39="Ready",AC39&lt;=2),"Wave 1",IF(AO39&gt;=82,"Wave 2","Wave 3")))</x:f>
        <x:v>Wave 2</x:v>
      </x:c>
      <x:c r="AQ39" s="46" t="str">
        <x:v>S01; S04; S11; S16</x:v>
      </x:c>
      <x:c r="AR39" s="46" t="str">
        <x:v>Backlog</x:v>
      </x:c>
      <x:c r="AS39" s="46" t="str">
        <x:v>Create sleeve-thickness presets and accessibility pilot</x:v>
      </x:c>
      <x:c r="AT39" s="46" t="str"/>
    </x:row>
    <x:row r="40" ht="42" customHeight="1">
      <x:c r="A40" s="46" t="str">
        <x:v>SKU-039</x:v>
      </x:c>
      <x:c r="B40" s="46" t="str">
        <x:v>Curtain-rail end stop or cap</x:v>
      </x:c>
      <x:c r="C40" s="46" t="str">
        <x:v>Non-safety-critical replacement parts</x:v>
      </x:c>
      <x:c r="D40" s="46" t="n">
        <x:v>19</x:v>
      </x:c>
      <x:c r="E40" s="46" t="str">
        <x:v>Replace a small missing cap or stop matched to an existing rail profile.</x:v>
      </x:c>
      <x:c r="F40" s="46" t="str">
        <x:v>Households, landlords and repair cafes</x:v>
      </x:c>
      <x:c r="G40" s="46" t="str">
        <x:v>EU right-to-repair rules apply from 31 July 2026 and explicitly support compatible, lawful repair pathways.</x:v>
      </x:c>
      <x:c r="H40" s="52" t="n">
        <x:v>75</x:v>
      </x:c>
      <x:c r="I40" s="52" t="n">
        <x:v>5</x:v>
      </x:c>
      <x:c r="J40" s="52" t="n">
        <x:v>5</x:v>
      </x:c>
      <x:c r="K40" s="52" t="n">
        <x:v>5</x:v>
      </x:c>
      <x:c r="L40" s="52" t="n">
        <x:v>5</x:v>
      </x:c>
      <x:c r="M40" s="52" t="n">
        <x:v>85</x:v>
      </x:c>
      <x:c r="N40" s="52" t="n">
        <x:v>45</x:v>
      </x:c>
      <x:c r="O40" s="52" t="n">
        <x:v>35</x:v>
      </x:c>
      <x:c r="P40" s="46" t="str">
        <x:v>S</x:v>
      </x:c>
      <x:c r="Q40" s="46" t="str">
        <x:v>Single or pair replacement</x:v>
      </x:c>
      <x:c r="R40" s="46" t="str">
        <x:v>PETG</x:v>
      </x:c>
      <x:c r="S40" s="46" t="str">
        <x:v>Optional screw insert</x:v>
      </x:c>
      <x:c r="T40" s="46" t="str">
        <x:v>Core 250 mm</x:v>
      </x:c>
      <x:c r="U40" s="46" t="str">
        <x:v>No</x:v>
      </x:c>
      <x:c r="V40" s="46" t="str">
        <x:v>None</x:v>
      </x:c>
      <x:c r="W40" s="52" t="n">
        <x:v>2</x:v>
      </x:c>
      <x:c r="X40" s="46" t="str">
        <x:v>Rail cross-section dimensions/photo, stop function and screw details</x:v>
      </x:c>
      <x:c r="Y40" s="46" t="str">
        <x:v>Profile socket, latch, screw hole, end shape</x:v>
      </x:c>
      <x:c r="Z40" s="46" t="str">
        <x:v>Fit, retention cycles and edge inspection</x:v>
      </x:c>
      <x:c r="AA40" s="46" t="str">
        <x:v>Light curtain hardware only; not structural or fall protection</x:v>
      </x:c>
      <x:c r="AB40" s="46" t="str">
        <x:v>GPSR + replacement-part case review</x:v>
      </x:c>
      <x:c r="AC40" s="52" t="n">
        <x:v>2</x:v>
      </x:c>
      <x:c r="AD40" s="46" t="str">
        <x:v>No</x:v>
      </x:c>
      <x:c r="AE40" s="46" t="str">
        <x:v>No</x:v>
      </x:c>
      <x:c r="AF40" s="46" t="str">
        <x:v>No</x:v>
      </x:c>
      <x:c r="AG40" s="46" t="str">
        <x:v>Light duty</x:v>
      </x:c>
      <x:c r="AH40" s="46" t="str">
        <x:v>Ready</x:v>
      </x:c>
      <x:c r="AI40" s="46" t="str">
        <x:v>Own measured geometry; design-right review</x:v>
      </x:c>
      <x:c r="AJ40" s="46" t="str">
        <x:v>Case-by-case rights review</x:v>
      </x:c>
      <x:c r="AK40" s="50" t="n">
        <x:v>7.9</x:v>
      </x:c>
      <x:c r="AL40" s="50" t="n">
        <x:f>'Unit Economics'!R40</x:f>
        <x:v>8.12819</x:v>
      </x:c>
      <x:c r="AM40" s="50" t="n">
        <x:f>'Unit Economics'!V40</x:f>
        <x:v>24.395</x:v>
      </x:c>
      <x:c r="AN40" s="54" t="n">
        <x:f>'Unit Economics'!Y40</x:f>
        <x:v>0.5535029268292683</x:v>
      </x:c>
      <x:c r="AO40" s="48" t="n">
        <x:f>ROUND(H40*Assumptions!$B$39+I40*20*Assumptions!$B$40+J40*20*Assumptions!$B$41+K40*20*Assumptions!$B$42+L40*20*Assumptions!$B$43+(6-AC40)*20*Assumptions!$B$44,1)</x:f>
        <x:v>90.5</x:v>
      </x:c>
      <x:c r="AP40" s="46" t="str">
        <x:f>IF(OR(AC40&gt;=4,AD40="Yes",AE40="Yes",AF40="Complete electrical"),"Specialist / Hold",IF(AND(AO40&gt;=92,AH40="Ready",AC40&lt;=2),"Wave 1",IF(AO40&gt;=82,"Wave 2","Wave 3")))</x:f>
        <x:v>Wave 2</x:v>
      </x:c>
      <x:c r="AQ40" s="46" t="str">
        <x:v>S10; S11; S16; S25; S29; S10; S29</x:v>
      </x:c>
      <x:c r="AR40" s="46" t="str">
        <x:v>Backlog</x:v>
      </x:c>
      <x:c r="AS40" s="46" t="str">
        <x:v>Create profile-photo measurement workflow</x:v>
      </x:c>
      <x:c r="AT40" s="46" t="str"/>
    </x:row>
    <x:row r="41" ht="42" customHeight="1">
      <x:c r="A41" s="46" t="str">
        <x:v>SKU-040</x:v>
      </x:c>
      <x:c r="B41" s="46" t="str">
        <x:v>Makeup-brush holder with removable drip cup</x:v>
      </x:c>
      <x:c r="C41" s="46" t="str">
        <x:v>Makeup &amp; vanity organizers</x:v>
      </x:c>
      <x:c r="D41" s="46" t="n">
        <x:v>4</x:v>
      </x:c>
      <x:c r="E41" s="46" t="str">
        <x:v>Store brushes vertically while allowing the lower cup to be removed for cleaning.</x:v>
      </x:c>
      <x:c r="F41" s="46" t="str">
        <x:v>Home vanity and professional makeup users</x:v>
      </x:c>
      <x:c r="G41" s="46" t="str">
        <x:v>Beauty/self-care personalization plus strong bathroom and vanity organization demand.</x:v>
      </x:c>
      <x:c r="H41" s="52" t="n">
        <x:v>91</x:v>
      </x:c>
      <x:c r="I41" s="52" t="n">
        <x:v>5</x:v>
      </x:c>
      <x:c r="J41" s="52" t="n">
        <x:v>4</x:v>
      </x:c>
      <x:c r="K41" s="52" t="n">
        <x:v>5</x:v>
      </x:c>
      <x:c r="L41" s="52" t="n">
        <x:v>4</x:v>
      </x:c>
      <x:c r="M41" s="52" t="n">
        <x:v>130</x:v>
      </x:c>
      <x:c r="N41" s="52" t="n">
        <x:v>130</x:v>
      </x:c>
      <x:c r="O41" s="52" t="n">
        <x:v>160</x:v>
      </x:c>
      <x:c r="P41" s="46" t="str">
        <x:v>M</x:v>
      </x:c>
      <x:c r="Q41" s="46" t="str">
        <x:v>Body + removable cup</x:v>
      </x:c>
      <x:c r="R41" s="46" t="str">
        <x:v>PETG</x:v>
      </x:c>
      <x:c r="S41" s="46" t="str">
        <x:v>Optional silicone feet</x:v>
      </x:c>
      <x:c r="T41" s="46" t="str">
        <x:v>Core 250 mm</x:v>
      </x:c>
      <x:c r="U41" s="46" t="str">
        <x:v>No</x:v>
      </x:c>
      <x:c r="V41" s="46" t="str">
        <x:v>None</x:v>
      </x:c>
      <x:c r="W41" s="52" t="n">
        <x:v>2</x:v>
      </x:c>
      <x:c r="X41" s="46" t="str">
        <x:v>Brush count and handle diameters, desired height</x:v>
      </x:c>
      <x:c r="Y41" s="46" t="str">
        <x:v>Hole sizes, cup depth, drainage, pattern</x:v>
      </x:c>
      <x:c r="Z41" s="46" t="str">
        <x:v>Stability, cleaning access, moisture exposure test</x:v>
      </x:c>
      <x:c r="AA41" s="46" t="str">
        <x:v>Avoid contact with brush bristles where possible; air-dry after cleaning</x:v>
      </x:c>
      <x:c r="AB41" s="46" t="str">
        <x:v>GPSR + hygiene/cleanability review</x:v>
      </x:c>
      <x:c r="AC41" s="52" t="n">
        <x:v>2</x:v>
      </x:c>
      <x:c r="AD41" s="46" t="str">
        <x:v>No</x:v>
      </x:c>
      <x:c r="AE41" s="46" t="str">
        <x:v>No</x:v>
      </x:c>
      <x:c r="AF41" s="46" t="str">
        <x:v>No</x:v>
      </x:c>
      <x:c r="AG41" s="46" t="str">
        <x:v>No</x:v>
      </x:c>
      <x:c r="AH41" s="46" t="str">
        <x:v>Ready</x:v>
      </x:c>
      <x:c r="AI41" s="46" t="str">
        <x:v>Own parametric CAD</x:v>
      </x:c>
      <x:c r="AJ41" s="46" t="str">
        <x:v>No—own design</x:v>
      </x:c>
      <x:c r="AK41" s="50" t="n">
        <x:v>9.9</x:v>
      </x:c>
      <x:c r="AL41" s="50" t="n">
        <x:f>'Unit Economics'!R41</x:f>
        <x:v>16.18015</x:v>
      </x:c>
      <x:c r="AM41" s="50" t="n">
        <x:f>'Unit Economics'!V41</x:f>
        <x:v>48.195</x:v>
      </x:c>
      <x:c r="AN41" s="54" t="n">
        <x:f>'Unit Economics'!Y41</x:f>
        <x:v>0.5504901234567902</x:v>
      </x:c>
      <x:c r="AO41" s="48" t="n">
        <x:f>ROUND(H41*Assumptions!$B$39+I41*20*Assumptions!$B$40+J41*20*Assumptions!$B$41+K41*20*Assumptions!$B$42+L41*20*Assumptions!$B$43+(6-AC41)*20*Assumptions!$B$44,1)</x:f>
        <x:v>90.3</x:v>
      </x:c>
      <x:c r="AP41" s="46" t="str">
        <x:f>IF(OR(AC41&gt;=4,AD41="Yes",AE41="Yes",AF41="Complete electrical"),"Specialist / Hold",IF(AND(AO41&gt;=92,AH41="Ready",AC41&lt;=2),"Wave 1",IF(AO41&gt;=82,"Wave 2","Wave 3")))</x:f>
        <x:v>Wave 2</x:v>
      </x:c>
      <x:c r="AQ41" s="46" t="str">
        <x:v>S07; S11; S19</x:v>
      </x:c>
      <x:c r="AR41" s="46" t="str">
        <x:v>Backlog</x:v>
      </x:c>
      <x:c r="AS41" s="46" t="str">
        <x:v>Validate cleaning procedure and drainage geometry</x:v>
      </x:c>
      <x:c r="AT41" s="46" t="str"/>
    </x:row>
    <x:row r="42" ht="42" customHeight="1">
      <x:c r="A42" s="46" t="str">
        <x:v>SKU-041</x:v>
      </x:c>
      <x:c r="B42" s="46" t="str">
        <x:v>Exact-fit medicine-cabinet organizer</x:v>
      </x:c>
      <x:c r="C42" s="46" t="str">
        <x:v>Bathroom &amp; shower organizers</x:v>
      </x:c>
      <x:c r="D42" s="46" t="n">
        <x:v>13</x:v>
      </x:c>
      <x:c r="E42" s="46" t="str">
        <x:v>Use narrow cabinet space efficiently with bins and shelves sized to actual products.</x:v>
      </x:c>
      <x:c r="F42" s="46" t="str">
        <x:v>Households, small bathrooms and rentals</x:v>
      </x:c>
      <x:c r="G42" s="46" t="str">
        <x:v>July 2026 marketplace analytics show strong bathroom-organization demand and concentrated price bands.</x:v>
      </x:c>
      <x:c r="H42" s="52" t="n">
        <x:v>81</x:v>
      </x:c>
      <x:c r="I42" s="52" t="n">
        <x:v>5</x:v>
      </x:c>
      <x:c r="J42" s="52" t="n">
        <x:v>5</x:v>
      </x:c>
      <x:c r="K42" s="52" t="n">
        <x:v>5</x:v>
      </x:c>
      <x:c r="L42" s="52" t="n">
        <x:v>4</x:v>
      </x:c>
      <x:c r="M42" s="52" t="n">
        <x:v>235</x:v>
      </x:c>
      <x:c r="N42" s="52" t="n">
        <x:v>185</x:v>
      </x:c>
      <x:c r="O42" s="52" t="n">
        <x:v>125</x:v>
      </x:c>
      <x:c r="P42" s="46" t="str">
        <x:v>M</x:v>
      </x:c>
      <x:c r="Q42" s="46" t="str">
        <x:v>Modular bins and risers</x:v>
      </x:c>
      <x:c r="R42" s="46" t="str">
        <x:v>PETG</x:v>
      </x:c>
      <x:c r="S42" s="46" t="str">
        <x:v>Optional labels</x:v>
      </x:c>
      <x:c r="T42" s="46" t="str">
        <x:v>Core 250 mm</x:v>
      </x:c>
      <x:c r="U42" s="46" t="str">
        <x:v>No</x:v>
      </x:c>
      <x:c r="V42" s="46" t="str">
        <x:v>None</x:v>
      </x:c>
      <x:c r="W42" s="52" t="n">
        <x:v>2</x:v>
      </x:c>
      <x:c r="X42" s="46" t="str">
        <x:v>Cabinet internal dimensions, product list/photo, shelf spacing</x:v>
      </x:c>
      <x:c r="Y42" s="46" t="str">
        <x:v>Bin footprint, riser heights, labels, finger access</x:v>
      </x:c>
      <x:c r="Z42" s="46" t="str">
        <x:v>Cabinet fit, tip and cleaning review</x:v>
      </x:c>
      <x:c r="AA42" s="46" t="str">
        <x:v>Storage only; keep medicines in original containers and away from children</x:v>
      </x:c>
      <x:c r="AB42" s="46" t="str">
        <x:v>GPSR standard + dimensional-fit file</x:v>
      </x:c>
      <x:c r="AC42" s="52" t="n">
        <x:v>2</x:v>
      </x:c>
      <x:c r="AD42" s="46" t="str">
        <x:v>No</x:v>
      </x:c>
      <x:c r="AE42" s="46" t="str">
        <x:v>Potential</x:v>
      </x:c>
      <x:c r="AF42" s="46" t="str">
        <x:v>No</x:v>
      </x:c>
      <x:c r="AG42" s="46" t="str">
        <x:v>No</x:v>
      </x:c>
      <x:c r="AH42" s="46" t="str">
        <x:v>Ready</x:v>
      </x:c>
      <x:c r="AI42" s="46" t="str">
        <x:v>Own parametric CAD</x:v>
      </x:c>
      <x:c r="AJ42" s="46" t="str">
        <x:v>No—own design</x:v>
      </x:c>
      <x:c r="AK42" s="50" t="n">
        <x:v>13.9</x:v>
      </x:c>
      <x:c r="AL42" s="50" t="n">
        <x:f>'Unit Economics'!R42</x:f>
        <x:v>28.75453</x:v>
      </x:c>
      <x:c r="AM42" s="50" t="n">
        <x:f>'Unit Economics'!V42</x:f>
        <x:v>85.67999999999999</x:v>
      </x:c>
      <x:c r="AN42" s="54" t="n">
        <x:f>'Unit Economics'!Y42</x:f>
        <x:v>0.5506315277777777</x:v>
      </x:c>
      <x:c r="AO42" s="48" t="n">
        <x:f>ROUND(H42*Assumptions!$B$39+I42*20*Assumptions!$B$40+J42*20*Assumptions!$B$41+K42*20*Assumptions!$B$42+L42*20*Assumptions!$B$43+(6-AC42)*20*Assumptions!$B$44,1)</x:f>
        <x:v>90.3</x:v>
      </x:c>
      <x:c r="AP42" s="46" t="str">
        <x:f>IF(OR(AC42&gt;=4,AD42="Yes",AE42="Yes",AF42="Complete electrical"),"Specialist / Hold",IF(AND(AO42&gt;=92,AH42="Ready",AC42&lt;=2),"Wave 1",IF(AO42&gt;=82,"Wave 2","Wave 3")))</x:f>
        <x:v>Wave 2</x:v>
      </x:c>
      <x:c r="AQ42" s="46" t="str">
        <x:v>S07; S11; S19</x:v>
      </x:c>
      <x:c r="AR42" s="46" t="str">
        <x:v>Backlog</x:v>
      </x:c>
      <x:c r="AS42" s="46" t="str">
        <x:v>Reuse organizer engine with bathroom material rules</x:v>
      </x:c>
      <x:c r="AT42" s="46" t="str"/>
    </x:row>
    <x:row r="43" ht="42" customHeight="1">
      <x:c r="A43" s="46" t="str">
        <x:v>SKU-042</x:v>
      </x:c>
      <x:c r="B43" s="46" t="str">
        <x:v>Sunglasses display rail</x:v>
      </x:c>
      <x:c r="C43" s="46" t="str">
        <x:v>Wall hooks, key holders &amp; entry organizers</x:v>
      </x:c>
      <x:c r="D43" s="46" t="n">
        <x:v>5</x:v>
      </x:c>
      <x:c r="E43" s="46" t="str">
        <x:v>Display multiple glasses without scratching lenses.</x:v>
      </x:c>
      <x:c r="F43" s="46" t="str">
        <x:v>Fashion consumers and small retail displays</x:v>
      </x:c>
      <x:c r="G43" s="46" t="str">
        <x:v>Personalized home organization and small-space storage remain broad consumer needs.</x:v>
      </x:c>
      <x:c r="H43" s="52" t="n">
        <x:v>89</x:v>
      </x:c>
      <x:c r="I43" s="52" t="n">
        <x:v>5</x:v>
      </x:c>
      <x:c r="J43" s="52" t="n">
        <x:v>5</x:v>
      </x:c>
      <x:c r="K43" s="52" t="n">
        <x:v>4</x:v>
      </x:c>
      <x:c r="L43" s="52" t="n">
        <x:v>4</x:v>
      </x:c>
      <x:c r="M43" s="52" t="n">
        <x:v>235</x:v>
      </x:c>
      <x:c r="N43" s="52" t="n">
        <x:v>85</x:v>
      </x:c>
      <x:c r="O43" s="52" t="n">
        <x:v>65</x:v>
      </x:c>
      <x:c r="P43" s="46" t="str">
        <x:v>M</x:v>
      </x:c>
      <x:c r="Q43" s="46" t="str">
        <x:v>Rail + removable soft-contact inserts</x:v>
      </x:c>
      <x:c r="R43" s="46" t="str">
        <x:v>PETG</x:v>
      </x:c>
      <x:c r="S43" s="46" t="str">
        <x:v>TPU pads and screws</x:v>
      </x:c>
      <x:c r="T43" s="46" t="str">
        <x:v>Core 250 mm</x:v>
      </x:c>
      <x:c r="U43" s="46" t="str">
        <x:v>No</x:v>
      </x:c>
      <x:c r="V43" s="46" t="str">
        <x:v>None</x:v>
      </x:c>
      <x:c r="W43" s="52" t="n">
        <x:v>2</x:v>
      </x:c>
      <x:c r="X43" s="46" t="str">
        <x:v>Frame count, temple widths, wall type, display angle</x:v>
      </x:c>
      <x:c r="Y43" s="46" t="str">
        <x:v>Notches, spacing, rail length, pad geometry</x:v>
      </x:c>
      <x:c r="Z43" s="46" t="str">
        <x:v>Frame contact check, pull test, tip/retention check</x:v>
      </x:c>
      <x:c r="AA43" s="46" t="str">
        <x:v>Light eyewear only; use soft inserts at contact points</x:v>
      </x:c>
      <x:c r="AB43" s="46" t="str">
        <x:v>GPSR + light-duty mounting validation</x:v>
      </x:c>
      <x:c r="AC43" s="52" t="n">
        <x:v>2</x:v>
      </x:c>
      <x:c r="AD43" s="46" t="str">
        <x:v>No</x:v>
      </x:c>
      <x:c r="AE43" s="46" t="str">
        <x:v>No</x:v>
      </x:c>
      <x:c r="AF43" s="46" t="str">
        <x:v>No</x:v>
      </x:c>
      <x:c r="AG43" s="46" t="str">
        <x:v>Light duty</x:v>
      </x:c>
      <x:c r="AH43" s="46" t="str">
        <x:v>Guided</x:v>
      </x:c>
      <x:c r="AI43" s="46" t="str">
        <x:v>Own CAD</x:v>
      </x:c>
      <x:c r="AJ43" s="46" t="str">
        <x:v>No—own design</x:v>
      </x:c>
      <x:c r="AK43" s="50" t="n">
        <x:v>10.9</x:v>
      </x:c>
      <x:c r="AL43" s="50" t="n">
        <x:f>'Unit Economics'!R43</x:f>
        <x:v>18.50821</x:v>
      </x:c>
      <x:c r="AM43" s="50" t="n">
        <x:f>'Unit Economics'!V43</x:f>
        <x:v>55.335</x:v>
      </x:c>
      <x:c r="AN43" s="54" t="n">
        <x:f>'Unit Economics'!Y43</x:f>
        <x:v>0.5519739784946237</x:v>
      </x:c>
      <x:c r="AO43" s="48" t="n">
        <x:f>ROUND(H43*Assumptions!$B$39+I43*20*Assumptions!$B$40+J43*20*Assumptions!$B$41+K43*20*Assumptions!$B$42+L43*20*Assumptions!$B$43+(6-AC43)*20*Assumptions!$B$44,1)</x:f>
        <x:v>89.7</x:v>
      </x:c>
      <x:c r="AP43" s="46" t="str">
        <x:f>IF(OR(AC43&gt;=4,AD43="Yes",AE43="Yes",AF43="Complete electrical"),"Specialist / Hold",IF(AND(AO43&gt;=92,AH43="Ready",AC43&lt;=2),"Wave 1",IF(AO43&gt;=82,"Wave 2","Wave 3")))</x:f>
        <x:v>Wave 2</x:v>
      </x:c>
      <x:c r="AQ43" s="46" t="str">
        <x:v>S02; S05; S08; S11; S19</x:v>
      </x:c>
      <x:c r="AR43" s="46" t="str">
        <x:v>Backlog</x:v>
      </x:c>
      <x:c r="AS43" s="46" t="str">
        <x:v>Test with varied frame shapes and soft pads</x:v>
      </x:c>
      <x:c r="AT43" s="46" t="str"/>
    </x:row>
    <x:row r="44" ht="42" customHeight="1">
      <x:c r="A44" s="46" t="str">
        <x:v>SKU-043</x:v>
      </x:c>
      <x:c r="B44" s="46" t="str">
        <x:v>Personalized journal-charm set</x:v>
      </x:c>
      <x:c r="C44" s="46" t="str">
        <x:v>Journaling &amp; stationery accessories</x:v>
      </x:c>
      <x:c r="D44" s="46" t="n">
        <x:v>17</x:v>
      </x:c>
      <x:c r="E44" s="46" t="str">
        <x:v>Add initials, symbols or themed charms to journals and bags.</x:v>
      </x:c>
      <x:c r="F44" s="46" t="str">
        <x:v>Gen Z/Gen Alpha-style stationery buyers and gifts</x:v>
      </x:c>
      <x:c r="G44" s="46" t="str">
        <x:v>Etsy reports journal-charms searches up 395%; 2026 craft reporting shows strong analog and junk-journaling growth.</x:v>
      </x:c>
      <x:c r="H44" s="52" t="n">
        <x:v>79</x:v>
      </x:c>
      <x:c r="I44" s="52" t="n">
        <x:v>5</x:v>
      </x:c>
      <x:c r="J44" s="52" t="n">
        <x:v>5</x:v>
      </x:c>
      <x:c r="K44" s="52" t="n">
        <x:v>5</x:v>
      </x:c>
      <x:c r="L44" s="52" t="n">
        <x:v>5</x:v>
      </x:c>
      <x:c r="M44" s="52" t="n">
        <x:v>55</x:v>
      </x:c>
      <x:c r="N44" s="52" t="n">
        <x:v>35</x:v>
      </x:c>
      <x:c r="O44" s="52" t="n">
        <x:v>10</x:v>
      </x:c>
      <x:c r="P44" s="46" t="str">
        <x:v>S</x:v>
      </x:c>
      <x:c r="Q44" s="46" t="str">
        <x:v>Batch of charms with loops</x:v>
      </x:c>
      <x:c r="R44" s="46" t="str">
        <x:v>PETG</x:v>
      </x:c>
      <x:c r="S44" s="46" t="str">
        <x:v>Metal split rings</x:v>
      </x:c>
      <x:c r="T44" s="46" t="str">
        <x:v>Core 250 mm</x:v>
      </x:c>
      <x:c r="U44" s="46" t="str">
        <x:v>No</x:v>
      </x:c>
      <x:c r="V44" s="46" t="str">
        <x:v>None</x:v>
      </x:c>
      <x:c r="W44" s="52" t="n">
        <x:v>2</x:v>
      </x:c>
      <x:c r="X44" s="46" t="str">
        <x:v>Initials/icons, attachment size, quantity and colors</x:v>
      </x:c>
      <x:c r="Y44" s="46" t="str">
        <x:v>Text/icon, thickness, loop, surface pattern</x:v>
      </x:c>
      <x:c r="Z44" s="46" t="str">
        <x:v>Loop pull, edge and small-parts inspection</x:v>
      </x:c>
      <x:c r="AA44" s="46" t="str">
        <x:v>Small parts; not for young children; accessory not toy/jewelry unless separately classified</x:v>
      </x:c>
      <x:c r="AB44" s="46" t="str">
        <x:v>GPSR + small-parts/accessory validation</x:v>
      </x:c>
      <x:c r="AC44" s="52" t="n">
        <x:v>3</x:v>
      </x:c>
      <x:c r="AD44" s="46" t="str">
        <x:v>No</x:v>
      </x:c>
      <x:c r="AE44" s="46" t="str">
        <x:v>Potential</x:v>
      </x:c>
      <x:c r="AF44" s="46" t="str">
        <x:v>No</x:v>
      </x:c>
      <x:c r="AG44" s="46" t="str">
        <x:v>No</x:v>
      </x:c>
      <x:c r="AH44" s="46" t="str">
        <x:v>Ready</x:v>
      </x:c>
      <x:c r="AI44" s="46" t="str">
        <x:v>Own/commissioned icons; licensed fonts</x:v>
      </x:c>
      <x:c r="AJ44" s="46" t="str">
        <x:v>Rights tracked for icons/fonts</x:v>
      </x:c>
      <x:c r="AK44" s="50" t="n">
        <x:v>6.9</x:v>
      </x:c>
      <x:c r="AL44" s="50" t="n">
        <x:f>'Unit Economics'!R44</x:f>
        <x:v>8.73803</x:v>
      </x:c>
      <x:c r="AM44" s="50" t="n">
        <x:f>'Unit Economics'!V44</x:f>
        <x:v>26.18</x:v>
      </x:c>
      <x:c r="AN44" s="54" t="n">
        <x:f>'Unit Economics'!Y44</x:f>
        <x:v>0.5528168181818182</x:v>
      </x:c>
      <x:c r="AO44" s="48" t="n">
        <x:f>ROUND(H44*Assumptions!$B$39+I44*20*Assumptions!$B$40+J44*20*Assumptions!$B$41+K44*20*Assumptions!$B$42+L44*20*Assumptions!$B$43+(6-AC44)*20*Assumptions!$B$44,1)</x:f>
        <x:v>89.7</x:v>
      </x:c>
      <x:c r="AP44" s="46" t="str">
        <x:f>IF(OR(AC44&gt;=4,AD44="Yes",AE44="Yes",AF44="Complete electrical"),"Specialist / Hold",IF(AND(AO44&gt;=92,AH44="Ready",AC44&lt;=2),"Wave 1",IF(AO44&gt;=82,"Wave 2","Wave 3")))</x:f>
        <x:v>Wave 2</x:v>
      </x:c>
      <x:c r="AQ44" s="46" t="str">
        <x:v>S01; S04; S11; S16</x:v>
      </x:c>
      <x:c r="AR44" s="46" t="str">
        <x:v>Backlog</x:v>
      </x:c>
      <x:c r="AS44" s="46" t="str">
        <x:v>Create original charm collection and warning card</x:v>
      </x:c>
      <x:c r="AT44" s="46" t="str"/>
    </x:row>
    <x:row r="45" ht="42" customHeight="1">
      <x:c r="A45" s="46" t="str">
        <x:v>SKU-044</x:v>
      </x:c>
      <x:c r="B45" s="46" t="str">
        <x:v>Ventilated orchid pot and cachepot</x:v>
      </x:c>
      <x:c r="C45" s="46" t="str">
        <x:v>Planters &amp; self-watering planters</x:v>
      </x:c>
      <x:c r="D45" s="46" t="n">
        <x:v>7</x:v>
      </x:c>
      <x:c r="E45" s="46" t="str">
        <x:v>Match an orchid root system with ventilation and a removable decorative outer pot.</x:v>
      </x:c>
      <x:c r="F45" s="46" t="str">
        <x:v>Orchid owners and gift buyers</x:v>
      </x:c>
      <x:c r="G45" s="46" t="str">
        <x:v>Nature-aligned interiors, tactile surfaces and sculptural decor support customizable planter demand.</x:v>
      </x:c>
      <x:c r="H45" s="52" t="n">
        <x:v>88</x:v>
      </x:c>
      <x:c r="I45" s="52" t="n">
        <x:v>5</x:v>
      </x:c>
      <x:c r="J45" s="52" t="n">
        <x:v>5</x:v>
      </x:c>
      <x:c r="K45" s="52" t="n">
        <x:v>4</x:v>
      </x:c>
      <x:c r="L45" s="52" t="n">
        <x:v>4</x:v>
      </x:c>
      <x:c r="M45" s="52" t="n">
        <x:v>185</x:v>
      </x:c>
      <x:c r="N45" s="52" t="n">
        <x:v>185</x:v>
      </x:c>
      <x:c r="O45" s="52" t="n">
        <x:v>185</x:v>
      </x:c>
      <x:c r="P45" s="46" t="str">
        <x:v>M</x:v>
      </x:c>
      <x:c r="Q45" s="46" t="str">
        <x:v>Ventilated liner + cachepot</x:v>
      </x:c>
      <x:c r="R45" s="46" t="str">
        <x:v>PETG</x:v>
      </x:c>
      <x:c r="S45" s="46" t="str">
        <x:v>Optional feet</x:v>
      </x:c>
      <x:c r="T45" s="46" t="str">
        <x:v>Core 250 mm</x:v>
      </x:c>
      <x:c r="U45" s="46" t="str">
        <x:v>No</x:v>
      </x:c>
      <x:c r="V45" s="46" t="str">
        <x:v>None</x:v>
      </x:c>
      <x:c r="W45" s="52" t="n">
        <x:v>2</x:v>
      </x:c>
      <x:c r="X45" s="46" t="str">
        <x:v>Existing pot/root diameter, height, drainage preference</x:v>
      </x:c>
      <x:c r="Y45" s="46" t="str">
        <x:v>Vent pattern, liner clearance, handles, exterior texture</x:v>
      </x:c>
      <x:c r="Z45" s="46" t="str">
        <x:v>Drainage, root snag inspection, cachepot stability</x:v>
      </x:c>
      <x:c r="AA45" s="46" t="str">
        <x:v>Plant container only; clean before reuse</x:v>
      </x:c>
      <x:c r="AB45" s="46" t="str">
        <x:v>GPSR + moisture/cleanability review</x:v>
      </x:c>
      <x:c r="AC45" s="52" t="n">
        <x:v>2</x:v>
      </x:c>
      <x:c r="AD45" s="46" t="str">
        <x:v>No</x:v>
      </x:c>
      <x:c r="AE45" s="46" t="str">
        <x:v>No</x:v>
      </x:c>
      <x:c r="AF45" s="46" t="str">
        <x:v>No</x:v>
      </x:c>
      <x:c r="AG45" s="46" t="str">
        <x:v>No</x:v>
      </x:c>
      <x:c r="AH45" s="46" t="str">
        <x:v>Ready</x:v>
      </x:c>
      <x:c r="AI45" s="46" t="str">
        <x:v>Own CAD and texture assets</x:v>
      </x:c>
      <x:c r="AJ45" s="46" t="str">
        <x:v>No—own design</x:v>
      </x:c>
      <x:c r="AK45" s="50" t="n">
        <x:v>11.9</x:v>
      </x:c>
      <x:c r="AL45" s="50" t="n">
        <x:f>'Unit Economics'!R45</x:f>
        <x:v>24.19424</x:v>
      </x:c>
      <x:c r="AM45" s="50" t="n">
        <x:f>'Unit Economics'!V45</x:f>
        <x:v>71.99499999999999</x:v>
      </x:c>
      <x:c r="AN45" s="54" t="n">
        <x:f>'Unit Economics'!Y45</x:f>
        <x:v>0.5500952066115703</x:v>
      </x:c>
      <x:c r="AO45" s="48" t="n">
        <x:f>ROUND(H45*Assumptions!$B$39+I45*20*Assumptions!$B$40+J45*20*Assumptions!$B$41+K45*20*Assumptions!$B$42+L45*20*Assumptions!$B$43+(6-AC45)*20*Assumptions!$B$44,1)</x:f>
        <x:v>89.4</x:v>
      </x:c>
      <x:c r="AP45" s="46" t="str">
        <x:f>IF(OR(AC45&gt;=4,AD45="Yes",AE45="Yes",AF45="Complete electrical"),"Specialist / Hold",IF(AND(AO45&gt;=92,AH45="Ready",AC45&lt;=2),"Wave 1",IF(AO45&gt;=82,"Wave 2","Wave 3")))</x:f>
        <x:v>Wave 2</x:v>
      </x:c>
      <x:c r="AQ45" s="46" t="str">
        <x:v>S02; S03; S11; S19; S20</x:v>
      </x:c>
      <x:c r="AR45" s="46" t="str">
        <x:v>Backlog</x:v>
      </x:c>
      <x:c r="AS45" s="46" t="str">
        <x:v>Test ventilation patterns with local orchid users</x:v>
      </x:c>
      <x:c r="AT45" s="46" t="str"/>
    </x:row>
    <x:row r="46" ht="42" customHeight="1">
      <x:c r="A46" s="46" t="str">
        <x:v>SKU-045</x:v>
      </x:c>
      <x:c r="B46" s="46" t="str">
        <x:v>Comic, slab or collectible display stand</x:v>
      </x:c>
      <x:c r="C46" s="46" t="str">
        <x:v>Bookends, vinyl &amp; display stands</x:v>
      </x:c>
      <x:c r="D46" s="46" t="n">
        <x:v>15</x:v>
      </x:c>
      <x:c r="E46" s="46" t="str">
        <x:v>Display a protected comic, card slab or small collectible at a safe angle.</x:v>
      </x:c>
      <x:c r="F46" s="46" t="str">
        <x:v>Collectors and hobby shops</x:v>
      </x:c>
      <x:c r="G46" s="46" t="str">
        <x:v>The 2026 analog revival and intentional nostalgia support display accessories for books and records.</x:v>
      </x:c>
      <x:c r="H46" s="52" t="n">
        <x:v>78</x:v>
      </x:c>
      <x:c r="I46" s="52" t="n">
        <x:v>5</x:v>
      </x:c>
      <x:c r="J46" s="52" t="n">
        <x:v>5</x:v>
      </x:c>
      <x:c r="K46" s="52" t="n">
        <x:v>5</x:v>
      </x:c>
      <x:c r="L46" s="52" t="n">
        <x:v>4</x:v>
      </x:c>
      <x:c r="M46" s="52" t="n">
        <x:v>225</x:v>
      </x:c>
      <x:c r="N46" s="52" t="n">
        <x:v>165</x:v>
      </x:c>
      <x:c r="O46" s="52" t="n">
        <x:v>205</x:v>
      </x:c>
      <x:c r="P46" s="46" t="str">
        <x:v>M</x:v>
      </x:c>
      <x:c r="Q46" s="46" t="str">
        <x:v>Adjustable base + support</x:v>
      </x:c>
      <x:c r="R46" s="46" t="str">
        <x:v>PETG</x:v>
      </x:c>
      <x:c r="S46" s="46" t="str">
        <x:v>TPU contact pads</x:v>
      </x:c>
      <x:c r="T46" s="46" t="str">
        <x:v>Core 250 mm</x:v>
      </x:c>
      <x:c r="U46" s="46" t="str">
        <x:v>No</x:v>
      </x:c>
      <x:c r="V46" s="46" t="str">
        <x:v>None</x:v>
      </x:c>
      <x:c r="W46" s="52" t="n">
        <x:v>2</x:v>
      </x:c>
      <x:c r="X46" s="46" t="str">
        <x:v>Object dimensions/weight, case thickness, viewing angle</x:v>
      </x:c>
      <x:c r="Y46" s="46" t="str">
        <x:v>Lip, back angle, width, pad geometry, label</x:v>
      </x:c>
      <x:c r="Z46" s="46" t="str">
        <x:v>Fit, tip/slip test and surface-contact check</x:v>
      </x:c>
      <x:c r="AA46" s="46" t="str">
        <x:v>Display only; no protection or preservation claim</x:v>
      </x:c>
      <x:c r="AB46" s="46" t="str">
        <x:v>GPSR + stability/fit validation</x:v>
      </x:c>
      <x:c r="AC46" s="52" t="n">
        <x:v>2</x:v>
      </x:c>
      <x:c r="AD46" s="46" t="str">
        <x:v>No</x:v>
      </x:c>
      <x:c r="AE46" s="46" t="str">
        <x:v>Potential</x:v>
      </x:c>
      <x:c r="AF46" s="46" t="str">
        <x:v>No</x:v>
      </x:c>
      <x:c r="AG46" s="46" t="str">
        <x:v>No</x:v>
      </x:c>
      <x:c r="AH46" s="46" t="str">
        <x:v>Ready</x:v>
      </x:c>
      <x:c r="AI46" s="46" t="str">
        <x:v>Own parametric CAD</x:v>
      </x:c>
      <x:c r="AJ46" s="46" t="str">
        <x:v>No—own design</x:v>
      </x:c>
      <x:c r="AK46" s="50" t="n">
        <x:v>9.9</x:v>
      </x:c>
      <x:c r="AL46" s="50" t="n">
        <x:f>'Unit Economics'!R46</x:f>
        <x:v>22.04972</x:v>
      </x:c>
      <x:c r="AM46" s="50" t="n">
        <x:f>'Unit Economics'!V46</x:f>
        <x:v>66.045</x:v>
      </x:c>
      <x:c r="AN46" s="54" t="n">
        <x:f>'Unit Economics'!Y46</x:f>
        <x:v>0.5527077477477478</x:v>
      </x:c>
      <x:c r="AO46" s="48" t="n">
        <x:f>ROUND(H46*Assumptions!$B$39+I46*20*Assumptions!$B$40+J46*20*Assumptions!$B$41+K46*20*Assumptions!$B$42+L46*20*Assumptions!$B$43+(6-AC46)*20*Assumptions!$B$44,1)</x:f>
        <x:v>89.4</x:v>
      </x:c>
      <x:c r="AP46" s="46" t="str">
        <x:f>IF(OR(AC46&gt;=4,AD46="Yes",AE46="Yes",AF46="Complete electrical"),"Specialist / Hold",IF(AND(AO46&gt;=92,AH46="Ready",AC46&lt;=2),"Wave 1",IF(AO46&gt;=82,"Wave 2","Wave 3")))</x:f>
        <x:v>Wave 2</x:v>
      </x:c>
      <x:c r="AQ46" s="46" t="str">
        <x:v>S01; S04; S11; S19</x:v>
      </x:c>
      <x:c r="AR46" s="46" t="str">
        <x:v>Backlog</x:v>
      </x:c>
      <x:c r="AS46" s="46" t="str">
        <x:v>Create one universal and one exact-fit variant</x:v>
      </x:c>
      <x:c r="AT46" s="46" t="str"/>
    </x:row>
    <x:row r="47" ht="42" customHeight="1">
      <x:c r="A47" s="46" t="str">
        <x:v>SKU-046</x:v>
      </x:c>
      <x:c r="B47" s="46" t="str">
        <x:v>Face-out book display cradle</x:v>
      </x:c>
      <x:c r="C47" s="46" t="str">
        <x:v>Bookends, vinyl &amp; display stands</x:v>
      </x:c>
      <x:c r="D47" s="46" t="n">
        <x:v>15</x:v>
      </x:c>
      <x:c r="E47" s="46" t="str">
        <x:v>Display a selected book cover without damaging the spine or pages.</x:v>
      </x:c>
      <x:c r="F47" s="46" t="str">
        <x:v>Book lovers, classrooms and retail displays</x:v>
      </x:c>
      <x:c r="G47" s="46" t="str">
        <x:v>The 2026 analog revival and intentional nostalgia support display accessories for books and records.</x:v>
      </x:c>
      <x:c r="H47" s="52" t="n">
        <x:v>78</x:v>
      </x:c>
      <x:c r="I47" s="52" t="n">
        <x:v>5</x:v>
      </x:c>
      <x:c r="J47" s="52" t="n">
        <x:v>5</x:v>
      </x:c>
      <x:c r="K47" s="52" t="n">
        <x:v>5</x:v>
      </x:c>
      <x:c r="L47" s="52" t="n">
        <x:v>4</x:v>
      </x:c>
      <x:c r="M47" s="52" t="n">
        <x:v>205</x:v>
      </x:c>
      <x:c r="N47" s="52" t="n">
        <x:v>175</x:v>
      </x:c>
      <x:c r="O47" s="52" t="n">
        <x:v>185</x:v>
      </x:c>
      <x:c r="P47" s="46" t="str">
        <x:v>M</x:v>
      </x:c>
      <x:c r="Q47" s="46" t="str">
        <x:v>Adjustable two-part cradle</x:v>
      </x:c>
      <x:c r="R47" s="46" t="str">
        <x:v>PLA</x:v>
      </x:c>
      <x:c r="S47" s="46" t="str">
        <x:v>Optional felt contact pads</x:v>
      </x:c>
      <x:c r="T47" s="46" t="str">
        <x:v>Core 250 mm</x:v>
      </x:c>
      <x:c r="U47" s="46" t="str">
        <x:v>No</x:v>
      </x:c>
      <x:c r="V47" s="46" t="str">
        <x:v>None</x:v>
      </x:c>
      <x:c r="W47" s="52" t="n">
        <x:v>2</x:v>
      </x:c>
      <x:c r="X47" s="46" t="str">
        <x:v>Book dimensions/weight, desired opening angle</x:v>
      </x:c>
      <x:c r="Y47" s="46" t="str">
        <x:v>Cradle width, lip, back angle, support spacing</x:v>
      </x:c>
      <x:c r="Z47" s="46" t="str">
        <x:v>Tip test, page/spine contact check, edge inspection</x:v>
      </x:c>
      <x:c r="AA47" s="46" t="str">
        <x:v>Display only; do not force fragile books open</x:v>
      </x:c>
      <x:c r="AB47" s="46" t="str">
        <x:v>GPSR + stability/contact validation</x:v>
      </x:c>
      <x:c r="AC47" s="52" t="n">
        <x:v>2</x:v>
      </x:c>
      <x:c r="AD47" s="46" t="str">
        <x:v>No</x:v>
      </x:c>
      <x:c r="AE47" s="46" t="str">
        <x:v>Potential</x:v>
      </x:c>
      <x:c r="AF47" s="46" t="str">
        <x:v>No</x:v>
      </x:c>
      <x:c r="AG47" s="46" t="str">
        <x:v>No</x:v>
      </x:c>
      <x:c r="AH47" s="46" t="str">
        <x:v>Ready</x:v>
      </x:c>
      <x:c r="AI47" s="46" t="str">
        <x:v>Own parametric CAD</x:v>
      </x:c>
      <x:c r="AJ47" s="46" t="str">
        <x:v>No—own design</x:v>
      </x:c>
      <x:c r="AK47" s="50" t="n">
        <x:v>9.9</x:v>
      </x:c>
      <x:c r="AL47" s="50" t="n">
        <x:f>'Unit Economics'!R47</x:f>
        <x:v>18.44367</x:v>
      </x:c>
      <x:c r="AM47" s="50" t="n">
        <x:f>'Unit Economics'!V47</x:f>
        <x:v>55.335</x:v>
      </x:c>
      <x:c r="AN47" s="54" t="n">
        <x:f>'Unit Economics'!Y47</x:f>
        <x:v>0.5533619354838709</x:v>
      </x:c>
      <x:c r="AO47" s="48" t="n">
        <x:f>ROUND(H47*Assumptions!$B$39+I47*20*Assumptions!$B$40+J47*20*Assumptions!$B$41+K47*20*Assumptions!$B$42+L47*20*Assumptions!$B$43+(6-AC47)*20*Assumptions!$B$44,1)</x:f>
        <x:v>89.4</x:v>
      </x:c>
      <x:c r="AP47" s="46" t="str">
        <x:f>IF(OR(AC47&gt;=4,AD47="Yes",AE47="Yes",AF47="Complete electrical"),"Specialist / Hold",IF(AND(AO47&gt;=92,AH47="Ready",AC47&lt;=2),"Wave 1",IF(AO47&gt;=82,"Wave 2","Wave 3")))</x:f>
        <x:v>Wave 2</x:v>
      </x:c>
      <x:c r="AQ47" s="46" t="str">
        <x:v>S01; S04; S11; S19</x:v>
      </x:c>
      <x:c r="AR47" s="46" t="str">
        <x:v>Backlog</x:v>
      </x:c>
      <x:c r="AS47" s="46" t="str">
        <x:v>Pilot with hardcover, paperback and photo books</x:v>
      </x:c>
      <x:c r="AT47" s="46" t="str"/>
    </x:row>
    <x:row r="48" ht="42" customHeight="1">
      <x:c r="A48" s="46" t="str">
        <x:v>SKU-047</x:v>
      </x:c>
      <x:c r="B48" s="46" t="str">
        <x:v>Stamp and ink-pad desk organizer</x:v>
      </x:c>
      <x:c r="C48" s="46" t="str">
        <x:v>Journaling &amp; stationery accessories</x:v>
      </x:c>
      <x:c r="D48" s="46" t="n">
        <x:v>17</x:v>
      </x:c>
      <x:c r="E48" s="46" t="str">
        <x:v>Arrange a specific stamp and ink-pad collection in a compact footprint.</x:v>
      </x:c>
      <x:c r="F48" s="46" t="str">
        <x:v>Crafters, teachers and small businesses</x:v>
      </x:c>
      <x:c r="G48" s="46" t="str">
        <x:v>Etsy reports journal-charms searches up 395%; 2026 craft reporting shows strong analog and junk-journaling growth.</x:v>
      </x:c>
      <x:c r="H48" s="52" t="n">
        <x:v>77</x:v>
      </x:c>
      <x:c r="I48" s="52" t="n">
        <x:v>5</x:v>
      </x:c>
      <x:c r="J48" s="52" t="n">
        <x:v>5</x:v>
      </x:c>
      <x:c r="K48" s="52" t="n">
        <x:v>5</x:v>
      </x:c>
      <x:c r="L48" s="52" t="n">
        <x:v>4</x:v>
      </x:c>
      <x:c r="M48" s="52" t="n">
        <x:v>225</x:v>
      </x:c>
      <x:c r="N48" s="52" t="n">
        <x:v>165</x:v>
      </x:c>
      <x:c r="O48" s="52" t="n">
        <x:v>85</x:v>
      </x:c>
      <x:c r="P48" s="46" t="str">
        <x:v>M</x:v>
      </x:c>
      <x:c r="Q48" s="46" t="str">
        <x:v>Modular trays and risers</x:v>
      </x:c>
      <x:c r="R48" s="46" t="str">
        <x:v>PETG</x:v>
      </x:c>
      <x:c r="S48" s="46" t="str">
        <x:v>Optional labels</x:v>
      </x:c>
      <x:c r="T48" s="46" t="str">
        <x:v>Core 250 mm</x:v>
      </x:c>
      <x:c r="U48" s="46" t="str">
        <x:v>No</x:v>
      </x:c>
      <x:c r="V48" s="46" t="str">
        <x:v>None</x:v>
      </x:c>
      <x:c r="W48" s="52" t="n">
        <x:v>2</x:v>
      </x:c>
      <x:c r="X48" s="46" t="str">
        <x:v>Stamp/pad dimensions and count, desk/drawer space</x:v>
      </x:c>
      <x:c r="Y48" s="46" t="str">
        <x:v>Slots, risers, labels, carry handles</x:v>
      </x:c>
      <x:c r="Z48" s="46" t="str">
        <x:v>Fit, tip and cleanability check</x:v>
      </x:c>
      <x:c r="AA48" s="46" t="str">
        <x:v>Store inks in original closed containers; follow ink supplier instructions</x:v>
      </x:c>
      <x:c r="AB48" s="46" t="str">
        <x:v>GPSR standard + dimensional-fit file</x:v>
      </x:c>
      <x:c r="AC48" s="52" t="n">
        <x:v>2</x:v>
      </x:c>
      <x:c r="AD48" s="46" t="str">
        <x:v>No</x:v>
      </x:c>
      <x:c r="AE48" s="46" t="str">
        <x:v>Potential</x:v>
      </x:c>
      <x:c r="AF48" s="46" t="str">
        <x:v>No</x:v>
      </x:c>
      <x:c r="AG48" s="46" t="str">
        <x:v>No</x:v>
      </x:c>
      <x:c r="AH48" s="46" t="str">
        <x:v>Ready</x:v>
      </x:c>
      <x:c r="AI48" s="46" t="str">
        <x:v>Own parametric CAD</x:v>
      </x:c>
      <x:c r="AJ48" s="46" t="str">
        <x:v>No—own design</x:v>
      </x:c>
      <x:c r="AK48" s="50" t="n">
        <x:v>11.9</x:v>
      </x:c>
      <x:c r="AL48" s="50" t="n">
        <x:f>'Unit Economics'!R48</x:f>
        <x:v>19.493180000000002</x:v>
      </x:c>
      <x:c r="AM48" s="50" t="n">
        <x:f>'Unit Economics'!V48</x:f>
        <x:v>58.309999999999995</x:v>
      </x:c>
      <x:c r="AN48" s="54" t="n">
        <x:f>'Unit Economics'!Y48</x:f>
        <x:v>0.55218</x:v>
      </x:c>
      <x:c r="AO48" s="48" t="n">
        <x:f>ROUND(H48*Assumptions!$B$39+I48*20*Assumptions!$B$40+J48*20*Assumptions!$B$41+K48*20*Assumptions!$B$42+L48*20*Assumptions!$B$43+(6-AC48)*20*Assumptions!$B$44,1)</x:f>
        <x:v>89.1</x:v>
      </x:c>
      <x:c r="AP48" s="46" t="str">
        <x:f>IF(OR(AC48&gt;=4,AD48="Yes",AE48="Yes",AF48="Complete electrical"),"Specialist / Hold",IF(AND(AO48&gt;=92,AH48="Ready",AC48&lt;=2),"Wave 1",IF(AO48&gt;=82,"Wave 2","Wave 3")))</x:f>
        <x:v>Wave 2</x:v>
      </x:c>
      <x:c r="AQ48" s="46" t="str">
        <x:v>S01; S04; S11; S16</x:v>
      </x:c>
      <x:c r="AR48" s="46" t="str">
        <x:v>Backlog</x:v>
      </x:c>
      <x:c r="AS48" s="46" t="str">
        <x:v>Pilot with two common craft-system dimensions</x:v>
      </x:c>
      <x:c r="AT48" s="46" t="str"/>
    </x:row>
    <x:row r="49" ht="42" customHeight="1">
      <x:c r="A49" s="46" t="str">
        <x:v>SKU-048</x:v>
      </x:c>
      <x:c r="B49" s="46" t="str">
        <x:v>Earbud charging-case protector</x:v>
      </x:c>
      <x:c r="C49" s="46" t="str">
        <x:v>Custom TPU cases, sleeves &amp; bumpers</x:v>
      </x:c>
      <x:c r="D49" s="46" t="n">
        <x:v>14</x:v>
      </x:c>
      <x:c r="E49" s="46" t="str">
        <x:v>Create a flexible protective sleeve for a specific earbud charging case.</x:v>
      </x:c>
      <x:c r="F49" s="46" t="str">
        <x:v>Audio users and personalized gifts</x:v>
      </x:c>
      <x:c r="G49" s="46" t="str">
        <x:v>Etsy reports polka-dot phone-case searches up 835%, highlighting fashion-driven accessory demand.</x:v>
      </x:c>
      <x:c r="H49" s="52" t="n">
        <x:v>80</x:v>
      </x:c>
      <x:c r="I49" s="52" t="n">
        <x:v>5</x:v>
      </x:c>
      <x:c r="J49" s="52" t="n">
        <x:v>5</x:v>
      </x:c>
      <x:c r="K49" s="52" t="n">
        <x:v>4</x:v>
      </x:c>
      <x:c r="L49" s="52" t="n">
        <x:v>5</x:v>
      </x:c>
      <x:c r="M49" s="52" t="n">
        <x:v>85</x:v>
      </x:c>
      <x:c r="N49" s="52" t="n">
        <x:v>65</x:v>
      </x:c>
      <x:c r="O49" s="52" t="n">
        <x:v>32</x:v>
      </x:c>
      <x:c r="P49" s="46" t="str">
        <x:v>S</x:v>
      </x:c>
      <x:c r="Q49" s="46" t="str">
        <x:v>Single TPU shell</x:v>
      </x:c>
      <x:c r="R49" s="46" t="str">
        <x:v>TPU</x:v>
      </x:c>
      <x:c r="S49" s="46" t="str">
        <x:v>Optional keyring insert</x:v>
      </x:c>
      <x:c r="T49" s="46" t="str">
        <x:v>Flexible-capable 250 mm</x:v>
      </x:c>
      <x:c r="U49" s="46" t="str">
        <x:v>No</x:v>
      </x:c>
      <x:c r="V49" s="46" t="str">
        <x:v>None</x:v>
      </x:c>
      <x:c r="W49" s="52" t="n">
        <x:v>3</x:v>
      </x:c>
      <x:c r="X49" s="46" t="str">
        <x:v>Case model/dimensions, hinge/port details, attachment preference</x:v>
      </x:c>
      <x:c r="Y49" s="46" t="str">
        <x:v>Wall thickness, hinge bridge, port opening, texture</x:v>
      </x:c>
      <x:c r="Z49" s="46" t="str">
        <x:v>Fit, lid operation, charging-port access, removal cycles</x:v>
      </x:c>
      <x:c r="AA49" s="46" t="str">
        <x:v>No certified impact or waterproof claim; small attachments need warning</x:v>
      </x:c>
      <x:c r="AB49" s="46" t="str">
        <x:v>GPSR + flexible accessory fit validation</x:v>
      </x:c>
      <x:c r="AC49" s="52" t="n">
        <x:v>2</x:v>
      </x:c>
      <x:c r="AD49" s="46" t="str">
        <x:v>No</x:v>
      </x:c>
      <x:c r="AE49" s="46" t="str">
        <x:v>Potential</x:v>
      </x:c>
      <x:c r="AF49" s="46" t="str">
        <x:v>Accessory only</x:v>
      </x:c>
      <x:c r="AG49" s="46" t="str">
        <x:v>No</x:v>
      </x:c>
      <x:c r="AH49" s="46" t="str">
        <x:v>Guided</x:v>
      </x:c>
      <x:c r="AI49" s="46" t="str">
        <x:v>Own CAD; compatibility wording</x:v>
      </x:c>
      <x:c r="AJ49" s="46" t="str">
        <x:v>No—own design</x:v>
      </x:c>
      <x:c r="AK49" s="50" t="n">
        <x:v>6.9</x:v>
      </x:c>
      <x:c r="AL49" s="50" t="n">
        <x:f>'Unit Economics'!R49</x:f>
        <x:v>7.6493199999999995</x:v>
      </x:c>
      <x:c r="AM49" s="50" t="n">
        <x:f>'Unit Economics'!V49</x:f>
        <x:v>23.205</x:v>
      </x:c>
      <x:c r="AN49" s="54" t="n">
        <x:f>'Unit Economics'!Y49</x:f>
        <x:v>0.5577271794871795</x:v>
      </x:c>
      <x:c r="AO49" s="48" t="n">
        <x:f>ROUND(H49*Assumptions!$B$39+I49*20*Assumptions!$B$40+J49*20*Assumptions!$B$41+K49*20*Assumptions!$B$42+L49*20*Assumptions!$B$43+(6-AC49)*20*Assumptions!$B$44,1)</x:f>
        <x:v>89</x:v>
      </x:c>
      <x:c r="AP49" s="46" t="str">
        <x:f>IF(OR(AC49&gt;=4,AD49="Yes",AE49="Yes",AF49="Complete electrical"),"Specialist / Hold",IF(AND(AO49&gt;=92,AH49="Ready",AC49&lt;=2),"Wave 1",IF(AO49&gt;=82,"Wave 2","Wave 3")))</x:f>
        <x:v>Wave 2</x:v>
      </x:c>
      <x:c r="AQ49" s="46" t="str">
        <x:v>S01; S11; S19; S30</x:v>
      </x:c>
      <x:c r="AR49" s="46" t="str">
        <x:v>Backlog</x:v>
      </x:c>
      <x:c r="AS49" s="46" t="str">
        <x:v>Create hinge-life and small-attachment test</x:v>
      </x:c>
      <x:c r="AT49" s="46" t="str"/>
    </x:row>
    <x:row r="50" ht="42" customHeight="1">
      <x:c r="A50" s="46" t="str">
        <x:v>SKU-049</x:v>
      </x:c>
      <x:c r="B50" s="46" t="str">
        <x:v>Power-brick cradle</x:v>
      </x:c>
      <x:c r="C50" s="46" t="str">
        <x:v>Cable-management systems</x:v>
      </x:c>
      <x:c r="D50" s="46" t="n">
        <x:v>2</x:v>
      </x:c>
      <x:c r="E50" s="46" t="str">
        <x:v>Mount a specific laptop or monitor power brick under a desk without blocking ventilation.</x:v>
      </x:c>
      <x:c r="F50" s="46" t="str">
        <x:v>Laptop users and offices</x:v>
      </x:c>
      <x:c r="G50" s="46" t="str">
        <x:v>Aesthetic productivity and desk-setup demand, reinforced by active 3D-print cable-management ecosystems.</x:v>
      </x:c>
      <x:c r="H50" s="52" t="n">
        <x:v>93</x:v>
      </x:c>
      <x:c r="I50" s="52" t="n">
        <x:v>5</x:v>
      </x:c>
      <x:c r="J50" s="52" t="n">
        <x:v>5</x:v>
      </x:c>
      <x:c r="K50" s="52" t="n">
        <x:v>4</x:v>
      </x:c>
      <x:c r="L50" s="52" t="n">
        <x:v>4</x:v>
      </x:c>
      <x:c r="M50" s="52" t="n">
        <x:v>160</x:v>
      </x:c>
      <x:c r="N50" s="52" t="n">
        <x:v>90</x:v>
      </x:c>
      <x:c r="O50" s="52" t="n">
        <x:v>55</x:v>
      </x:c>
      <x:c r="P50" s="46" t="str">
        <x:v>M</x:v>
      </x:c>
      <x:c r="Q50" s="46" t="str">
        <x:v>Two-part adjustable cradle</x:v>
      </x:c>
      <x:c r="R50" s="46" t="str">
        <x:v>PETG</x:v>
      </x:c>
      <x:c r="S50" s="46" t="str">
        <x:v>Certified screws; optional strap</x:v>
      </x:c>
      <x:c r="T50" s="46" t="str">
        <x:v>Core 250 mm</x:v>
      </x:c>
      <x:c r="U50" s="46" t="str">
        <x:v>No</x:v>
      </x:c>
      <x:c r="V50" s="46" t="str">
        <x:v>None</x:v>
      </x:c>
      <x:c r="W50" s="52" t="n">
        <x:v>3</x:v>
      </x:c>
      <x:c r="X50" s="46" t="str">
        <x:v>Brick L/W/H, cable exit direction, desk material</x:v>
      </x:c>
      <x:c r="Y50" s="46" t="str">
        <x:v>Cradle width, vent clearance, mounting holes, strap slot</x:v>
      </x:c>
      <x:c r="Z50" s="46" t="str">
        <x:v>Pull test, heat/vent clearance, cable strain check</x:v>
      </x:c>
      <x:c r="AA50" s="46" t="str">
        <x:v>Passive support only; no enclosure of power supply; follow OEM ventilation</x:v>
      </x:c>
      <x:c r="AB50" s="46" t="str">
        <x:v>GPSR + mounting and thermal-clearance validation</x:v>
      </x:c>
      <x:c r="AC50" s="52" t="n">
        <x:v>3</x:v>
      </x:c>
      <x:c r="AD50" s="46" t="str">
        <x:v>No</x:v>
      </x:c>
      <x:c r="AE50" s="46" t="str">
        <x:v>No</x:v>
      </x:c>
      <x:c r="AF50" s="46" t="str">
        <x:v>Accessory only</x:v>
      </x:c>
      <x:c r="AG50" s="46" t="str">
        <x:v>Yes—test</x:v>
      </x:c>
      <x:c r="AH50" s="46" t="str">
        <x:v>Local only</x:v>
      </x:c>
      <x:c r="AI50" s="46" t="str">
        <x:v>Own parametric CAD; device trademarks only descriptive</x:v>
      </x:c>
      <x:c r="AJ50" s="46" t="str">
        <x:v>No—own design; compatibility wording review</x:v>
      </x:c>
      <x:c r="AK50" s="50" t="n">
        <x:v>11.9</x:v>
      </x:c>
      <x:c r="AL50" s="50" t="n">
        <x:f>'Unit Economics'!R50</x:f>
        <x:v>17.13103</x:v>
      </x:c>
      <x:c r="AM50" s="50" t="n">
        <x:f>'Unit Economics'!V50</x:f>
        <x:v>51.169999999999995</x:v>
      </x:c>
      <x:c r="AN50" s="54" t="n">
        <x:f>'Unit Economics'!Y50</x:f>
        <x:v>0.5516039534883721</x:v>
      </x:c>
      <x:c r="AO50" s="48" t="n">
        <x:f>ROUND(H50*Assumptions!$B$39+I50*20*Assumptions!$B$40+J50*20*Assumptions!$B$41+K50*20*Assumptions!$B$42+L50*20*Assumptions!$B$43+(6-AC50)*20*Assumptions!$B$44,1)</x:f>
        <x:v>88.9</x:v>
      </x:c>
      <x:c r="AP50" s="46" t="str">
        <x:f>IF(OR(AC50&gt;=4,AD50="Yes",AE50="Yes",AF50="Complete electrical"),"Specialist / Hold",IF(AND(AO50&gt;=92,AH50="Ready",AC50&lt;=2),"Wave 1",IF(AO50&gt;=82,"Wave 2","Wave 3")))</x:f>
        <x:v>Wave 2</x:v>
      </x:c>
      <x:c r="AQ50" s="46" t="str">
        <x:v>S05; S09; S11; S19</x:v>
      </x:c>
      <x:c r="AR50" s="46" t="str">
        <x:v>Backlog</x:v>
      </x:c>
      <x:c r="AS50" s="46" t="str">
        <x:v>Define approved mounting and ventilation rules</x:v>
      </x:c>
      <x:c r="AT50" s="46" t="str"/>
    </x:row>
    <x:row r="51" ht="42" customHeight="1">
      <x:c r="A51" s="46" t="str">
        <x:v>SKU-050</x:v>
      </x:c>
      <x:c r="B51" s="46" t="str">
        <x:v>Modular token-tray set with lids</x:v>
      </x:c>
      <x:c r="C51" s="46" t="str">
        <x:v>Board-game inserts, card holders &amp; dice towers</x:v>
      </x:c>
      <x:c r="D51" s="46" t="n">
        <x:v>18</x:v>
      </x:c>
      <x:c r="E51" s="46" t="str">
        <x:v>Organize game tokens during play and storage with configurable trays.</x:v>
      </x:c>
      <x:c r="F51" s="46" t="str">
        <x:v>Adult tabletop players and clubs</x:v>
      </x:c>
      <x:c r="G51" s="46" t="str">
        <x:v>Analog hobby revival and social activity trends support adult tabletop accessories.</x:v>
      </x:c>
      <x:c r="H51" s="52" t="n">
        <x:v>76</x:v>
      </x:c>
      <x:c r="I51" s="52" t="n">
        <x:v>5</x:v>
      </x:c>
      <x:c r="J51" s="52" t="n">
        <x:v>5</x:v>
      </x:c>
      <x:c r="K51" s="52" t="n">
        <x:v>5</x:v>
      </x:c>
      <x:c r="L51" s="52" t="n">
        <x:v>4</x:v>
      </x:c>
      <x:c r="M51" s="52" t="n">
        <x:v>230</x:v>
      </x:c>
      <x:c r="N51" s="52" t="n">
        <x:v>185</x:v>
      </x:c>
      <x:c r="O51" s="52" t="n">
        <x:v>38</x:v>
      </x:c>
      <x:c r="P51" s="46" t="str">
        <x:v>M</x:v>
      </x:c>
      <x:c r="Q51" s="46" t="str">
        <x:v>Tray set with snap lids</x:v>
      </x:c>
      <x:c r="R51" s="46" t="str">
        <x:v>PETG</x:v>
      </x:c>
      <x:c r="S51" s="46" t="str">
        <x:v>Optional labels</x:v>
      </x:c>
      <x:c r="T51" s="46" t="str">
        <x:v>Core 250 mm</x:v>
      </x:c>
      <x:c r="U51" s="46" t="str">
        <x:v>No</x:v>
      </x:c>
      <x:c r="V51" s="46" t="str">
        <x:v>None</x:v>
      </x:c>
      <x:c r="W51" s="52" t="n">
        <x:v>2</x:v>
      </x:c>
      <x:c r="X51" s="46" t="str">
        <x:v>Token dimensions/count, box footprint, player layout</x:v>
      </x:c>
      <x:c r="Y51" s="46" t="str">
        <x:v>Pockets, lids, labels, stacking and color coding</x:v>
      </x:c>
      <x:c r="Z51" s="46" t="str">
        <x:v>Token fit, lid cycles, stack and spill test</x:v>
      </x:c>
      <x:c r="AA51" s="46" t="str">
        <x:v>Generic adult tabletop accessory; small game pieces remain separate hazards</x:v>
      </x:c>
      <x:c r="AB51" s="46" t="str">
        <x:v>GPSR standard + toy-classification screen</x:v>
      </x:c>
      <x:c r="AC51" s="52" t="n">
        <x:v>2</x:v>
      </x:c>
      <x:c r="AD51" s="46" t="str">
        <x:v>No</x:v>
      </x:c>
      <x:c r="AE51" s="46" t="str">
        <x:v>Potential</x:v>
      </x:c>
      <x:c r="AF51" s="46" t="str">
        <x:v>No</x:v>
      </x:c>
      <x:c r="AG51" s="46" t="str">
        <x:v>No</x:v>
      </x:c>
      <x:c r="AH51" s="46" t="str">
        <x:v>Ready</x:v>
      </x:c>
      <x:c r="AI51" s="46" t="str">
        <x:v>Own parametric CAD</x:v>
      </x:c>
      <x:c r="AJ51" s="46" t="str">
        <x:v>No—own design</x:v>
      </x:c>
      <x:c r="AK51" s="50" t="n">
        <x:v>11.9</x:v>
      </x:c>
      <x:c r="AL51" s="50" t="n">
        <x:f>'Unit Economics'!R51</x:f>
        <x:v>29.737959999999998</x:v>
      </x:c>
      <x:c r="AM51" s="50" t="n">
        <x:f>'Unit Economics'!V51</x:f>
        <x:v>88.655</x:v>
      </x:c>
      <x:c r="AN51" s="54" t="n">
        <x:f>'Unit Economics'!Y51</x:f>
        <x:v>0.5508327516778523</x:v>
      </x:c>
      <x:c r="AO51" s="48" t="n">
        <x:f>ROUND(H51*Assumptions!$B$39+I51*20*Assumptions!$B$40+J51*20*Assumptions!$B$41+K51*20*Assumptions!$B$42+L51*20*Assumptions!$B$43+(6-AC51)*20*Assumptions!$B$44,1)</x:f>
        <x:v>88.8</x:v>
      </x:c>
      <x:c r="AP51" s="46" t="str">
        <x:f>IF(OR(AC51&gt;=4,AD51="Yes",AE51="Yes",AF51="Complete electrical"),"Specialist / Hold",IF(AND(AO51&gt;=92,AH51="Ready",AC51&lt;=2),"Wave 1",IF(AO51&gt;=82,"Wave 2","Wave 3")))</x:f>
        <x:v>Wave 2</x:v>
      </x:c>
      <x:c r="AQ51" s="46" t="str">
        <x:v>S01; S04; S11; S16</x:v>
      </x:c>
      <x:c r="AR51" s="46" t="str">
        <x:v>Backlog</x:v>
      </x:c>
      <x:c r="AS51" s="46" t="str">
        <x:v>Create generic token capture workflow</x:v>
      </x:c>
      <x:c r="AT51" s="46" t="str"/>
    </x:row>
    <x:row r="52" ht="42" customHeight="1">
      <x:c r="A52" s="46" t="str">
        <x:v>SKU-051</x:v>
      </x:c>
      <x:c r="B52" s="46" t="str">
        <x:v>Under-desk headphone hook</x:v>
      </x:c>
      <x:c r="C52" s="46" t="str">
        <x:v>Headphone, controller &amp; VR stands</x:v>
      </x:c>
      <x:c r="D52" s="46" t="n">
        <x:v>9</x:v>
      </x:c>
      <x:c r="E52" s="46" t="str">
        <x:v>Store headphones below a desk while matching exact desk thickness.</x:v>
      </x:c>
      <x:c r="F52" s="46" t="str">
        <x:v>Office and gaming desk users</x:v>
      </x:c>
      <x:c r="G52" s="46" t="str">
        <x:v>Home-office and gaming setup personalization continues to support functional desk accessories.</x:v>
      </x:c>
      <x:c r="H52" s="52" t="n">
        <x:v>85</x:v>
      </x:c>
      <x:c r="I52" s="52" t="n">
        <x:v>5</x:v>
      </x:c>
      <x:c r="J52" s="52" t="n">
        <x:v>5</x:v>
      </x:c>
      <x:c r="K52" s="52" t="n">
        <x:v>4</x:v>
      </x:c>
      <x:c r="L52" s="52" t="n">
        <x:v>5</x:v>
      </x:c>
      <x:c r="M52" s="52" t="n">
        <x:v>105</x:v>
      </x:c>
      <x:c r="N52" s="52" t="n">
        <x:v>65</x:v>
      </x:c>
      <x:c r="O52" s="52" t="n">
        <x:v>55</x:v>
      </x:c>
      <x:c r="P52" s="46" t="str">
        <x:v>S</x:v>
      </x:c>
      <x:c r="Q52" s="46" t="str">
        <x:v>Clamp-on or screw-mounted hook</x:v>
      </x:c>
      <x:c r="R52" s="46" t="str">
        <x:v>PETG</x:v>
      </x:c>
      <x:c r="S52" s="46" t="str">
        <x:v>TPU pad or certified screws</x:v>
      </x:c>
      <x:c r="T52" s="46" t="str">
        <x:v>Core 250 mm</x:v>
      </x:c>
      <x:c r="U52" s="46" t="str">
        <x:v>No</x:v>
      </x:c>
      <x:c r="V52" s="46" t="str">
        <x:v>None</x:v>
      </x:c>
      <x:c r="W52" s="52" t="n">
        <x:v>2</x:v>
      </x:c>
      <x:c r="X52" s="46" t="str">
        <x:v>Desk thickness/material, headphone weight, mount type</x:v>
      </x:c>
      <x:c r="Y52" s="46" t="str">
        <x:v>Clamp gap, hook depth, pad, screw holes</x:v>
      </x:c>
      <x:c r="Z52" s="46" t="str">
        <x:v>Creep, pull and insertion-cycle tests; desk-marking check</x:v>
      </x:c>
      <x:c r="AA52" s="46" t="str">
        <x:v>Headphones only within tested load; no body support</x:v>
      </x:c>
      <x:c r="AB52" s="46" t="str">
        <x:v>GPSR + light-duty load validation</x:v>
      </x:c>
      <x:c r="AC52" s="52" t="n">
        <x:v>3</x:v>
      </x:c>
      <x:c r="AD52" s="46" t="str">
        <x:v>No</x:v>
      </x:c>
      <x:c r="AE52" s="46" t="str">
        <x:v>No</x:v>
      </x:c>
      <x:c r="AF52" s="46" t="str">
        <x:v>No</x:v>
      </x:c>
      <x:c r="AG52" s="46" t="str">
        <x:v>Yes—test</x:v>
      </x:c>
      <x:c r="AH52" s="46" t="str">
        <x:v>Local only</x:v>
      </x:c>
      <x:c r="AI52" s="46" t="str">
        <x:v>Own parametric CAD</x:v>
      </x:c>
      <x:c r="AJ52" s="46" t="str">
        <x:v>No—own design</x:v>
      </x:c>
      <x:c r="AK52" s="50" t="n">
        <x:v>6.9</x:v>
      </x:c>
      <x:c r="AL52" s="50" t="n">
        <x:f>'Unit Economics'!R52</x:f>
        <x:v>10.68473</x:v>
      </x:c>
      <x:c r="AM52" s="50" t="n">
        <x:f>'Unit Economics'!V52</x:f>
        <x:v>32.129999999999995</x:v>
      </x:c>
      <x:c r="AN52" s="54" t="n">
        <x:f>'Unit Economics'!Y52</x:f>
        <x:v>0.5542692592592592</x:v>
      </x:c>
      <x:c r="AO52" s="48" t="n">
        <x:f>ROUND(H52*Assumptions!$B$39+I52*20*Assumptions!$B$40+J52*20*Assumptions!$B$41+K52*20*Assumptions!$B$42+L52*20*Assumptions!$B$43+(6-AC52)*20*Assumptions!$B$44,1)</x:f>
        <x:v>88.5</x:v>
      </x:c>
      <x:c r="AP52" s="46" t="str">
        <x:f>IF(OR(AC52&gt;=4,AD52="Yes",AE52="Yes",AF52="Complete electrical"),"Specialist / Hold",IF(AND(AO52&gt;=92,AH52="Ready",AC52&lt;=2),"Wave 1",IF(AO52&gt;=82,"Wave 2","Wave 3")))</x:f>
        <x:v>Wave 2</x:v>
      </x:c>
      <x:c r="AQ52" s="46" t="str">
        <x:v>S05; S11; S19</x:v>
      </x:c>
      <x:c r="AR52" s="46" t="str">
        <x:v>Backlog</x:v>
      </x:c>
      <x:c r="AS52" s="46" t="str">
        <x:v>Validate clamp and screw versions separately</x:v>
      </x:c>
      <x:c r="AT52" s="46" t="str"/>
    </x:row>
    <x:row r="53" ht="42" customHeight="1">
      <x:c r="A53" s="46" t="str">
        <x:v>SKU-052</x:v>
      </x:c>
      <x:c r="B53" s="46" t="str">
        <x:v>Parametric deck box and divider system</x:v>
      </x:c>
      <x:c r="C53" s="46" t="str">
        <x:v>Board-game inserts, card holders &amp; dice towers</x:v>
      </x:c>
      <x:c r="D53" s="46" t="n">
        <x:v>18</x:v>
      </x:c>
      <x:c r="E53" s="46" t="str">
        <x:v>Store sleeved cards in a box sized to exact deck and accessory counts.</x:v>
      </x:c>
      <x:c r="F53" s="46" t="str">
        <x:v>Adult card-game players and collectors</x:v>
      </x:c>
      <x:c r="G53" s="46" t="str">
        <x:v>Analog hobby revival and social activity trends support adult tabletop accessories.</x:v>
      </x:c>
      <x:c r="H53" s="52" t="n">
        <x:v>75</x:v>
      </x:c>
      <x:c r="I53" s="52" t="n">
        <x:v>5</x:v>
      </x:c>
      <x:c r="J53" s="52" t="n">
        <x:v>5</x:v>
      </x:c>
      <x:c r="K53" s="52" t="n">
        <x:v>5</x:v>
      </x:c>
      <x:c r="L53" s="52" t="n">
        <x:v>4</x:v>
      </x:c>
      <x:c r="M53" s="52" t="n">
        <x:v>125</x:v>
      </x:c>
      <x:c r="N53" s="52" t="n">
        <x:v>95</x:v>
      </x:c>
      <x:c r="O53" s="52" t="n">
        <x:v>115</x:v>
      </x:c>
      <x:c r="P53" s="46" t="str">
        <x:v>M</x:v>
      </x:c>
      <x:c r="Q53" s="46" t="str">
        <x:v>Box + lid + dividers</x:v>
      </x:c>
      <x:c r="R53" s="46" t="str">
        <x:v>PETG</x:v>
      </x:c>
      <x:c r="S53" s="46" t="str">
        <x:v>Optional magnetic-free latch</x:v>
      </x:c>
      <x:c r="T53" s="46" t="str">
        <x:v>Core 250 mm</x:v>
      </x:c>
      <x:c r="U53" s="46" t="str">
        <x:v>No</x:v>
      </x:c>
      <x:c r="V53" s="46" t="str">
        <x:v>None</x:v>
      </x:c>
      <x:c r="W53" s="52" t="n">
        <x:v>2</x:v>
      </x:c>
      <x:c r="X53" s="46" t="str">
        <x:v>Card/sleeve dimensions, deck count, accessory pocket needs</x:v>
      </x:c>
      <x:c r="Y53" s="46" t="str">
        <x:v>Internal size, lid latch, dividers, labels</x:v>
      </x:c>
      <x:c r="Z53" s="46" t="str">
        <x:v>Card fit, latch cycles, drop and edge test</x:v>
      </x:c>
      <x:c r="AA53" s="46" t="str">
        <x:v>Generic storage; avoid game logos/art unless licensed</x:v>
      </x:c>
      <x:c r="AB53" s="46" t="str">
        <x:v>GPSR standard + IP/toy-classification screen</x:v>
      </x:c>
      <x:c r="AC53" s="52" t="n">
        <x:v>2</x:v>
      </x:c>
      <x:c r="AD53" s="46" t="str">
        <x:v>No</x:v>
      </x:c>
      <x:c r="AE53" s="46" t="str">
        <x:v>Potential</x:v>
      </x:c>
      <x:c r="AF53" s="46" t="str">
        <x:v>No</x:v>
      </x:c>
      <x:c r="AG53" s="46" t="str">
        <x:v>No</x:v>
      </x:c>
      <x:c r="AH53" s="46" t="str">
        <x:v>Ready</x:v>
      </x:c>
      <x:c r="AI53" s="46" t="str">
        <x:v>Own parametric CAD</x:v>
      </x:c>
      <x:c r="AJ53" s="46" t="str">
        <x:v>No—own design</x:v>
      </x:c>
      <x:c r="AK53" s="50" t="n">
        <x:v>9.9</x:v>
      </x:c>
      <x:c r="AL53" s="50" t="n">
        <x:f>'Unit Economics'!R53</x:f>
        <x:v>18.057409999999997</x:v>
      </x:c>
      <x:c r="AM53" s="50" t="n">
        <x:f>'Unit Economics'!V53</x:f>
        <x:v>54.144999999999996</x:v>
      </x:c>
      <x:c r="AN53" s="54" t="n">
        <x:f>'Unit Economics'!Y53</x:f>
        <x:v>0.5531338461538462</x:v>
      </x:c>
      <x:c r="AO53" s="48" t="n">
        <x:f>ROUND(H53*Assumptions!$B$39+I53*20*Assumptions!$B$40+J53*20*Assumptions!$B$41+K53*20*Assumptions!$B$42+L53*20*Assumptions!$B$43+(6-AC53)*20*Assumptions!$B$44,1)</x:f>
        <x:v>88.5</x:v>
      </x:c>
      <x:c r="AP53" s="46" t="str">
        <x:f>IF(OR(AC53&gt;=4,AD53="Yes",AE53="Yes",AF53="Complete electrical"),"Specialist / Hold",IF(AND(AO53&gt;=92,AH53="Ready",AC53&lt;=2),"Wave 1",IF(AO53&gt;=82,"Wave 2","Wave 3")))</x:f>
        <x:v>Wave 2</x:v>
      </x:c>
      <x:c r="AQ53" s="46" t="str">
        <x:v>S01; S04; S11; S16</x:v>
      </x:c>
      <x:c r="AR53" s="46" t="str">
        <x:v>Backlog</x:v>
      </x:c>
      <x:c r="AS53" s="46" t="str">
        <x:v>Create standard card and sleeve presets</x:v>
      </x:c>
      <x:c r="AT53" s="46" t="str"/>
    </x:row>
    <x:row r="54" ht="42" customHeight="1">
      <x:c r="A54" s="46" t="str">
        <x:v>SKU-053</x:v>
      </x:c>
      <x:c r="B54" s="46" t="str">
        <x:v>Page-holder thumb tool</x:v>
      </x:c>
      <x:c r="C54" s="46" t="str">
        <x:v>Journaling &amp; stationery accessories</x:v>
      </x:c>
      <x:c r="D54" s="46" t="n">
        <x:v>17</x:v>
      </x:c>
      <x:c r="E54" s="46" t="str">
        <x:v>Hold a book or journal open with one hand.</x:v>
      </x:c>
      <x:c r="F54" s="46" t="str">
        <x:v>Readers, journalers and accessibility users</x:v>
      </x:c>
      <x:c r="G54" s="46" t="str">
        <x:v>Etsy reports journal-charms searches up 395%; 2026 craft reporting shows strong analog and junk-journaling growth.</x:v>
      </x:c>
      <x:c r="H54" s="52" t="n">
        <x:v>78</x:v>
      </x:c>
      <x:c r="I54" s="52" t="n">
        <x:v>5</x:v>
      </x:c>
      <x:c r="J54" s="52" t="n">
        <x:v>4</x:v>
      </x:c>
      <x:c r="K54" s="52" t="n">
        <x:v>5</x:v>
      </x:c>
      <x:c r="L54" s="52" t="n">
        <x:v>5</x:v>
      </x:c>
      <x:c r="M54" s="52" t="n">
        <x:v>75</x:v>
      </x:c>
      <x:c r="N54" s="52" t="n">
        <x:v>40</x:v>
      </x:c>
      <x:c r="O54" s="52" t="n">
        <x:v>16</x:v>
      </x:c>
      <x:c r="P54" s="46" t="str">
        <x:v>S</x:v>
      </x:c>
      <x:c r="Q54" s="46" t="str">
        <x:v>Single ergonomic part</x:v>
      </x:c>
      <x:c r="R54" s="46" t="str">
        <x:v>PLA</x:v>
      </x:c>
      <x:c r="S54" s="46" t="str">
        <x:v>Optional TPU comfort insert</x:v>
      </x:c>
      <x:c r="T54" s="46" t="str">
        <x:v>Core 250 mm</x:v>
      </x:c>
      <x:c r="U54" s="46" t="str">
        <x:v>No</x:v>
      </x:c>
      <x:c r="V54" s="46" t="str">
        <x:v>None</x:v>
      </x:c>
      <x:c r="W54" s="52" t="n">
        <x:v>1</x:v>
      </x:c>
      <x:c r="X54" s="46" t="str">
        <x:v>Thumb diameter, book thickness, hand preference</x:v>
      </x:c>
      <x:c r="Y54" s="46" t="str">
        <x:v>Thumb opening, wing width, curvature, texture</x:v>
      </x:c>
      <x:c r="Z54" s="46" t="str">
        <x:v>Edge comfort, page pressure and break test</x:v>
      </x:c>
      <x:c r="AA54" s="46" t="str">
        <x:v>Reading aid only; not for children who may mouth small parts</x:v>
      </x:c>
      <x:c r="AB54" s="46" t="str">
        <x:v>GPSR standard + ergonomic review</x:v>
      </x:c>
      <x:c r="AC54" s="52" t="n">
        <x:v>2</x:v>
      </x:c>
      <x:c r="AD54" s="46" t="str">
        <x:v>No</x:v>
      </x:c>
      <x:c r="AE54" s="46" t="str">
        <x:v>Potential</x:v>
      </x:c>
      <x:c r="AF54" s="46" t="str">
        <x:v>No</x:v>
      </x:c>
      <x:c r="AG54" s="46" t="str">
        <x:v>No</x:v>
      </x:c>
      <x:c r="AH54" s="46" t="str">
        <x:v>Ready</x:v>
      </x:c>
      <x:c r="AI54" s="46" t="str">
        <x:v>Own parametric CAD</x:v>
      </x:c>
      <x:c r="AJ54" s="46" t="str">
        <x:v>No—own design</x:v>
      </x:c>
      <x:c r="AK54" s="50" t="n">
        <x:v>4.9</x:v>
      </x:c>
      <x:c r="AL54" s="50" t="n">
        <x:f>'Unit Economics'!R54</x:f>
        <x:v>4.990314</x:v>
      </x:c>
      <x:c r="AM54" s="50" t="n">
        <x:f>'Unit Economics'!V54</x:f>
        <x:v>14.875</x:v>
      </x:c>
      <x:c r="AN54" s="54" t="n">
        <x:f>'Unit Economics'!Y54</x:f>
        <x:v>0.5507748800000001</x:v>
      </x:c>
      <x:c r="AO54" s="48" t="n">
        <x:f>ROUND(H54*Assumptions!$B$39+I54*20*Assumptions!$B$40+J54*20*Assumptions!$B$41+K54*20*Assumptions!$B$42+L54*20*Assumptions!$B$43+(6-AC54)*20*Assumptions!$B$44,1)</x:f>
        <x:v>88.4</x:v>
      </x:c>
      <x:c r="AP54" s="46" t="str">
        <x:f>IF(OR(AC54&gt;=4,AD54="Yes",AE54="Yes",AF54="Complete electrical"),"Specialist / Hold",IF(AND(AO54&gt;=92,AH54="Ready",AC54&lt;=2),"Wave 1",IF(AO54&gt;=82,"Wave 2","Wave 3")))</x:f>
        <x:v>Wave 2</x:v>
      </x:c>
      <x:c r="AQ54" s="46" t="str">
        <x:v>S01; S04; S11; S16</x:v>
      </x:c>
      <x:c r="AR54" s="46" t="str">
        <x:v>Backlog</x:v>
      </x:c>
      <x:c r="AS54" s="46" t="str">
        <x:v>Create sizing guide and comfort-test samples</x:v>
      </x:c>
      <x:c r="AT54" s="46" t="str"/>
    </x:row>
    <x:row r="55" ht="42" customHeight="1">
      <x:c r="A55" s="46" t="str">
        <x:v>SKU-054</x:v>
      </x:c>
      <x:c r="B55" s="46" t="str">
        <x:v>Personalized key rail</x:v>
      </x:c>
      <x:c r="C55" s="46" t="str">
        <x:v>Wall hooks, key holders &amp; entry organizers</x:v>
      </x:c>
      <x:c r="D55" s="46" t="n">
        <x:v>5</x:v>
      </x:c>
      <x:c r="E55" s="46" t="str">
        <x:v>Provide named or icon-based key positions in a layout that fits the entryway.</x:v>
      </x:c>
      <x:c r="F55" s="46" t="str">
        <x:v>Households, rentals and gifts</x:v>
      </x:c>
      <x:c r="G55" s="46" t="str">
        <x:v>Personalized home organization and small-space storage remain broad consumer needs.</x:v>
      </x:c>
      <x:c r="H55" s="52" t="n">
        <x:v>90</x:v>
      </x:c>
      <x:c r="I55" s="52" t="n">
        <x:v>5</x:v>
      </x:c>
      <x:c r="J55" s="52" t="n">
        <x:v>5</x:v>
      </x:c>
      <x:c r="K55" s="52" t="n">
        <x:v>4</x:v>
      </x:c>
      <x:c r="L55" s="52" t="n">
        <x:v>4</x:v>
      </x:c>
      <x:c r="M55" s="52" t="n">
        <x:v>230</x:v>
      </x:c>
      <x:c r="N55" s="52" t="n">
        <x:v>70</x:v>
      </x:c>
      <x:c r="O55" s="52" t="n">
        <x:v>45</x:v>
      </x:c>
      <x:c r="P55" s="46" t="str">
        <x:v>M</x:v>
      </x:c>
      <x:c r="Q55" s="46" t="str">
        <x:v>Rail + hooks + mounting cover</x:v>
      </x:c>
      <x:c r="R55" s="46" t="str">
        <x:v>PETG</x:v>
      </x:c>
      <x:c r="S55" s="46" t="str">
        <x:v>Certified screws/anchors</x:v>
      </x:c>
      <x:c r="T55" s="46" t="str">
        <x:v>Core 250 mm</x:v>
      </x:c>
      <x:c r="U55" s="46" t="str">
        <x:v>No</x:v>
      </x:c>
      <x:c r="V55" s="46" t="str">
        <x:v>None</x:v>
      </x:c>
      <x:c r="W55" s="52" t="n">
        <x:v>3</x:v>
      </x:c>
      <x:c r="X55" s="46" t="str">
        <x:v>Key count, wall type, fastener, names/icons, width</x:v>
      </x:c>
      <x:c r="Y55" s="46" t="str">
        <x:v>Hook spacing, rail length, mounting holes, text</x:v>
      </x:c>
      <x:c r="Z55" s="46" t="str">
        <x:v>Static load, repeated hook cycles, wall-anchor test</x:v>
      </x:c>
      <x:c r="AA55" s="46" t="str">
        <x:v>Keys and light accessories only; publish tested load class</x:v>
      </x:c>
      <x:c r="AB55" s="46" t="str">
        <x:v>GPSR + load/mounting validation</x:v>
      </x:c>
      <x:c r="AC55" s="52" t="n">
        <x:v>3</x:v>
      </x:c>
      <x:c r="AD55" s="46" t="str">
        <x:v>No</x:v>
      </x:c>
      <x:c r="AE55" s="46" t="str">
        <x:v>No</x:v>
      </x:c>
      <x:c r="AF55" s="46" t="str">
        <x:v>No</x:v>
      </x:c>
      <x:c r="AG55" s="46" t="str">
        <x:v>Yes—test</x:v>
      </x:c>
      <x:c r="AH55" s="46" t="str">
        <x:v>Local only</x:v>
      </x:c>
      <x:c r="AI55" s="46" t="str">
        <x:v>Own CAD; licensed fonts/icons</x:v>
      </x:c>
      <x:c r="AJ55" s="46" t="str">
        <x:v>No—own design</x:v>
      </x:c>
      <x:c r="AK55" s="50" t="n">
        <x:v>11.9</x:v>
      </x:c>
      <x:c r="AL55" s="50" t="n">
        <x:f>'Unit Economics'!R55</x:f>
        <x:v>18.59571</x:v>
      </x:c>
      <x:c r="AM55" s="50" t="n">
        <x:f>'Unit Economics'!V55</x:f>
        <x:v>55.335</x:v>
      </x:c>
      <x:c r="AN55" s="54" t="n">
        <x:f>'Unit Economics'!Y55</x:f>
        <x:v>0.5500922580645161</x:v>
      </x:c>
      <x:c r="AO55" s="48" t="n">
        <x:f>ROUND(H55*Assumptions!$B$39+I55*20*Assumptions!$B$40+J55*20*Assumptions!$B$41+K55*20*Assumptions!$B$42+L55*20*Assumptions!$B$43+(6-AC55)*20*Assumptions!$B$44,1)</x:f>
        <x:v>88</x:v>
      </x:c>
      <x:c r="AP55" s="46" t="str">
        <x:f>IF(OR(AC55&gt;=4,AD55="Yes",AE55="Yes",AF55="Complete electrical"),"Specialist / Hold",IF(AND(AO55&gt;=92,AH55="Ready",AC55&lt;=2),"Wave 1",IF(AO55&gt;=82,"Wave 2","Wave 3")))</x:f>
        <x:v>Wave 2</x:v>
      </x:c>
      <x:c r="AQ55" s="46" t="str">
        <x:v>S02; S05; S08; S11; S19</x:v>
      </x:c>
      <x:c r="AR55" s="46" t="str">
        <x:v>Backlog</x:v>
      </x:c>
      <x:c r="AS55" s="46" t="str">
        <x:v>Define 1 kg and 3 kg tested variants</x:v>
      </x:c>
      <x:c r="AT55" s="46" t="str"/>
    </x:row>
    <x:row r="56" ht="42" customHeight="1">
      <x:c r="A56" s="46" t="str">
        <x:v>SKU-055</x:v>
      </x:c>
      <x:c r="B56" s="46" t="str">
        <x:v>Exact-fit self-watering windowsill planter</x:v>
      </x:c>
      <x:c r="C56" s="46" t="str">
        <x:v>Planters &amp; self-watering planters</x:v>
      </x:c>
      <x:c r="D56" s="46" t="n">
        <x:v>7</x:v>
      </x:c>
      <x:c r="E56" s="46" t="str">
        <x:v>Fit a planter and reservoir precisely to a windowsill.</x:v>
      </x:c>
      <x:c r="F56" s="46" t="str">
        <x:v>Apartment dwellers and plant enthusiasts</x:v>
      </x:c>
      <x:c r="G56" s="46" t="str">
        <x:v>Nature-aligned interiors, tactile surfaces and sculptural decor support customizable planter demand.</x:v>
      </x:c>
      <x:c r="H56" s="52" t="n">
        <x:v>89</x:v>
      </x:c>
      <x:c r="I56" s="52" t="n">
        <x:v>5</x:v>
      </x:c>
      <x:c r="J56" s="52" t="n">
        <x:v>5</x:v>
      </x:c>
      <x:c r="K56" s="52" t="n">
        <x:v>4</x:v>
      </x:c>
      <x:c r="L56" s="52" t="n">
        <x:v>4</x:v>
      </x:c>
      <x:c r="M56" s="52" t="n">
        <x:v>235</x:v>
      </x:c>
      <x:c r="N56" s="52" t="n">
        <x:v>155</x:v>
      </x:c>
      <x:c r="O56" s="52" t="n">
        <x:v>185</x:v>
      </x:c>
      <x:c r="P56" s="46" t="str">
        <x:v>M</x:v>
      </x:c>
      <x:c r="Q56" s="46" t="str">
        <x:v>Outer reservoir + removable inner pot</x:v>
      </x:c>
      <x:c r="R56" s="46" t="str">
        <x:v>PETG</x:v>
      </x:c>
      <x:c r="S56" s="46" t="str">
        <x:v>Wick and optional level window</x:v>
      </x:c>
      <x:c r="T56" s="46" t="str">
        <x:v>Core 250 mm</x:v>
      </x:c>
      <x:c r="U56" s="46" t="str">
        <x:v>No</x:v>
      </x:c>
      <x:c r="V56" s="46" t="str">
        <x:v>None</x:v>
      </x:c>
      <x:c r="W56" s="52" t="n">
        <x:v>3</x:v>
      </x:c>
      <x:c r="X56" s="46" t="str">
        <x:v>Windowsill dimensions, plant/root size, reservoir preference</x:v>
      </x:c>
      <x:c r="Y56" s="46" t="str">
        <x:v>Footprint, reservoir depth, wick ports, fill opening</x:v>
      </x:c>
      <x:c r="Z56" s="46" t="str">
        <x:v>24 h and 7 d leak test, stability, root/drainage review</x:v>
      </x:c>
      <x:c r="AA56" s="46" t="str">
        <x:v>Indoor ornamental plants by default; edible-growing variant needs separate assessment</x:v>
      </x:c>
      <x:c r="AB56" s="46" t="str">
        <x:v>GPSR + moisture/leak validation</x:v>
      </x:c>
      <x:c r="AC56" s="52" t="n">
        <x:v>3</x:v>
      </x:c>
      <x:c r="AD56" s="46" t="str">
        <x:v>No</x:v>
      </x:c>
      <x:c r="AE56" s="46" t="str">
        <x:v>No</x:v>
      </x:c>
      <x:c r="AF56" s="46" t="str">
        <x:v>No</x:v>
      </x:c>
      <x:c r="AG56" s="46" t="str">
        <x:v>No</x:v>
      </x:c>
      <x:c r="AH56" s="46" t="str">
        <x:v>Local only</x:v>
      </x:c>
      <x:c r="AI56" s="46" t="str">
        <x:v>Own parametric CAD</x:v>
      </x:c>
      <x:c r="AJ56" s="46" t="str">
        <x:v>No—own design</x:v>
      </x:c>
      <x:c r="AK56" s="50" t="n">
        <x:v>14.9</x:v>
      </x:c>
      <x:c r="AL56" s="50" t="n">
        <x:f>'Unit Economics'!R56</x:f>
        <x:v>35.322</x:v>
      </x:c>
      <x:c r="AM56" s="50" t="n">
        <x:f>'Unit Economics'!V56</x:f>
        <x:v>105.315</x:v>
      </x:c>
      <x:c r="AN56" s="54" t="n">
        <x:f>'Unit Economics'!Y56</x:f>
        <x:v>0.5508813559322034</x:v>
      </x:c>
      <x:c r="AO56" s="48" t="n">
        <x:f>ROUND(H56*Assumptions!$B$39+I56*20*Assumptions!$B$40+J56*20*Assumptions!$B$41+K56*20*Assumptions!$B$42+L56*20*Assumptions!$B$43+(6-AC56)*20*Assumptions!$B$44,1)</x:f>
        <x:v>87.7</x:v>
      </x:c>
      <x:c r="AP56" s="46" t="str">
        <x:f>IF(OR(AC56&gt;=4,AD56="Yes",AE56="Yes",AF56="Complete electrical"),"Specialist / Hold",IF(AND(AO56&gt;=92,AH56="Ready",AC56&lt;=2),"Wave 1",IF(AO56&gt;=82,"Wave 2","Wave 3")))</x:f>
        <x:v>Wave 2</x:v>
      </x:c>
      <x:c r="AQ56" s="46" t="str">
        <x:v>S02; S03; S11; S19; S20</x:v>
      </x:c>
      <x:c r="AR56" s="46" t="str">
        <x:v>Backlog</x:v>
      </x:c>
      <x:c r="AS56" s="46" t="str">
        <x:v>Run leak and wick performance pilot</x:v>
      </x:c>
      <x:c r="AT56" s="46" t="str"/>
    </x:row>
    <x:row r="57" ht="42" customHeight="1">
      <x:c r="A57" s="46" t="str">
        <x:v>SKU-056</x:v>
      </x:c>
      <x:c r="B57" s="46" t="str">
        <x:v>Draining toothbrush and razor stand</x:v>
      </x:c>
      <x:c r="C57" s="46" t="str">
        <x:v>Bathroom &amp; shower organizers</x:v>
      </x:c>
      <x:c r="D57" s="46" t="n">
        <x:v>13</x:v>
      </x:c>
      <x:c r="E57" s="46" t="str">
        <x:v>Organize bathroom tools while allowing water to drain and parts to be cleaned.</x:v>
      </x:c>
      <x:c r="F57" s="46" t="str">
        <x:v>Households and shared bathrooms</x:v>
      </x:c>
      <x:c r="G57" s="46" t="str">
        <x:v>July 2026 marketplace analytics show strong bathroom-organization demand and concentrated price bands.</x:v>
      </x:c>
      <x:c r="H57" s="52" t="n">
        <x:v>81</x:v>
      </x:c>
      <x:c r="I57" s="52" t="n">
        <x:v>5</x:v>
      </x:c>
      <x:c r="J57" s="52" t="n">
        <x:v>4</x:v>
      </x:c>
      <x:c r="K57" s="52" t="n">
        <x:v>5</x:v>
      </x:c>
      <x:c r="L57" s="52" t="n">
        <x:v>4</x:v>
      </x:c>
      <x:c r="M57" s="52" t="n">
        <x:v>165</x:v>
      </x:c>
      <x:c r="N57" s="52" t="n">
        <x:v>110</x:v>
      </x:c>
      <x:c r="O57" s="52" t="n">
        <x:v>125</x:v>
      </x:c>
      <x:c r="P57" s="46" t="str">
        <x:v>M</x:v>
      </x:c>
      <x:c r="Q57" s="46" t="str">
        <x:v>Body + removable drip tray</x:v>
      </x:c>
      <x:c r="R57" s="46" t="str">
        <x:v>PETG</x:v>
      </x:c>
      <x:c r="S57" s="46" t="str">
        <x:v>Optional silicone feet</x:v>
      </x:c>
      <x:c r="T57" s="46" t="str">
        <x:v>Core 250 mm</x:v>
      </x:c>
      <x:c r="U57" s="46" t="str">
        <x:v>No</x:v>
      </x:c>
      <x:c r="V57" s="46" t="str">
        <x:v>None</x:v>
      </x:c>
      <x:c r="W57" s="52" t="n">
        <x:v>2</x:v>
      </x:c>
      <x:c r="X57" s="46" t="str">
        <x:v>Item count/diameters, counter footprint, drainage preference</x:v>
      </x:c>
      <x:c r="Y57" s="46" t="str">
        <x:v>Holes, spacing, tray, airflow, labels</x:v>
      </x:c>
      <x:c r="Z57" s="46" t="str">
        <x:v>Stability, drainage, cleanability and edge inspection</x:v>
      </x:c>
      <x:c r="AA57" s="46" t="str">
        <x:v>Avoid direct contact with toothbrush bristles; clean and dry regularly</x:v>
      </x:c>
      <x:c r="AB57" s="46" t="str">
        <x:v>GPSR + hygiene/cleanability review</x:v>
      </x:c>
      <x:c r="AC57" s="52" t="n">
        <x:v>2</x:v>
      </x:c>
      <x:c r="AD57" s="46" t="str">
        <x:v>No</x:v>
      </x:c>
      <x:c r="AE57" s="46" t="str">
        <x:v>Potential</x:v>
      </x:c>
      <x:c r="AF57" s="46" t="str">
        <x:v>No</x:v>
      </x:c>
      <x:c r="AG57" s="46" t="str">
        <x:v>No</x:v>
      </x:c>
      <x:c r="AH57" s="46" t="str">
        <x:v>Ready</x:v>
      </x:c>
      <x:c r="AI57" s="46" t="str">
        <x:v>Own parametric CAD</x:v>
      </x:c>
      <x:c r="AJ57" s="46" t="str">
        <x:v>No—own design</x:v>
      </x:c>
      <x:c r="AK57" s="50" t="n">
        <x:v>8.9</x:v>
      </x:c>
      <x:c r="AL57" s="50" t="n">
        <x:f>'Unit Economics'!R57</x:f>
        <x:v>15.156960000000002</x:v>
      </x:c>
      <x:c r="AM57" s="50" t="n">
        <x:f>'Unit Economics'!V57</x:f>
        <x:v>45.22</x:v>
      </x:c>
      <x:c r="AN57" s="54" t="n">
        <x:f>'Unit Economics'!Y57</x:f>
        <x:v>0.5511326315789473</x:v>
      </x:c>
      <x:c r="AO57" s="48" t="n">
        <x:f>ROUND(H57*Assumptions!$B$39+I57*20*Assumptions!$B$40+J57*20*Assumptions!$B$41+K57*20*Assumptions!$B$42+L57*20*Assumptions!$B$43+(6-AC57)*20*Assumptions!$B$44,1)</x:f>
        <x:v>87.3</x:v>
      </x:c>
      <x:c r="AP57" s="46" t="str">
        <x:f>IF(OR(AC57&gt;=4,AD57="Yes",AE57="Yes",AF57="Complete electrical"),"Specialist / Hold",IF(AND(AO57&gt;=92,AH57="Ready",AC57&lt;=2),"Wave 1",IF(AO57&gt;=82,"Wave 2","Wave 3")))</x:f>
        <x:v>Wave 2</x:v>
      </x:c>
      <x:c r="AQ57" s="46" t="str">
        <x:v>S07; S11; S19</x:v>
      </x:c>
      <x:c r="AR57" s="46" t="str">
        <x:v>Backlog</x:v>
      </x:c>
      <x:c r="AS57" s="46" t="str">
        <x:v>Validate drainage and cleaning instructions</x:v>
      </x:c>
      <x:c r="AT57" s="46" t="str"/>
    </x:row>
    <x:row r="58" ht="42" customHeight="1">
      <x:c r="A58" s="46" t="str">
        <x:v>SKU-057</x:v>
      </x:c>
      <x:c r="B58" s="46" t="str">
        <x:v>Magnet-free desk slider fidget</x:v>
      </x:c>
      <x:c r="C58" s="46" t="str">
        <x:v>Adult desk fidgets &amp; original collectibles</x:v>
      </x:c>
      <x:c r="D58" s="46" t="n">
        <x:v>20</x:v>
      </x:c>
      <x:c r="E58" s="46" t="str">
        <x:v>Create a quiet sliding tactile object without loose magnets.</x:v>
      </x:c>
      <x:c r="F58" s="46" t="str">
        <x:v>Adult office users and gifts</x:v>
      </x:c>
      <x:c r="G58" s="46" t="str">
        <x:v>Whimsy, charms and collectibility remain visible 2026 demand signals and active 3D-model categories.</x:v>
      </x:c>
      <x:c r="H58" s="52" t="n">
        <x:v>71</x:v>
      </x:c>
      <x:c r="I58" s="52" t="n">
        <x:v>5</x:v>
      </x:c>
      <x:c r="J58" s="52" t="n">
        <x:v>5</x:v>
      </x:c>
      <x:c r="K58" s="52" t="n">
        <x:v>5</x:v>
      </x:c>
      <x:c r="L58" s="52" t="n">
        <x:v>5</x:v>
      </x:c>
      <x:c r="M58" s="52" t="n">
        <x:v>95</x:v>
      </x:c>
      <x:c r="N58" s="52" t="n">
        <x:v>55</x:v>
      </x:c>
      <x:c r="O58" s="52" t="n">
        <x:v>22</x:v>
      </x:c>
      <x:c r="P58" s="46" t="str">
        <x:v>S</x:v>
      </x:c>
      <x:c r="Q58" s="46" t="str">
        <x:v>Two captive sliding parts</x:v>
      </x:c>
      <x:c r="R58" s="46" t="str">
        <x:v>PETG</x:v>
      </x:c>
      <x:c r="S58" s="46" t="str">
        <x:v>Optional TPU pads</x:v>
      </x:c>
      <x:c r="T58" s="46" t="str">
        <x:v>Core 250 mm</x:v>
      </x:c>
      <x:c r="U58" s="46" t="str">
        <x:v>No</x:v>
      </x:c>
      <x:c r="V58" s="46" t="str">
        <x:v>None</x:v>
      </x:c>
      <x:c r="W58" s="52" t="n">
        <x:v>2</x:v>
      </x:c>
      <x:c r="X58" s="46" t="str">
        <x:v>Hand size, resistance preference, texture and text</x:v>
      </x:c>
      <x:c r="Y58" s="46" t="str">
        <x:v>Rail clearance, stops, grip, travel and detents</x:v>
      </x:c>
      <x:c r="Z58" s="46" t="str">
        <x:v>Cycle, pinch, break and noise test</x:v>
      </x:c>
      <x:c r="AA58" s="46" t="str">
        <x:v>Adult desk accessory; not for children; no magnets</x:v>
      </x:c>
      <x:c r="AB58" s="46" t="str">
        <x:v>GPSR + adult collectible/mechanical validation</x:v>
      </x:c>
      <x:c r="AC58" s="52" t="n">
        <x:v>3</x:v>
      </x:c>
      <x:c r="AD58" s="46" t="str">
        <x:v>No</x:v>
      </x:c>
      <x:c r="AE58" s="46" t="str">
        <x:v>Potential</x:v>
      </x:c>
      <x:c r="AF58" s="46" t="str">
        <x:v>No</x:v>
      </x:c>
      <x:c r="AG58" s="46" t="str">
        <x:v>No</x:v>
      </x:c>
      <x:c r="AH58" s="46" t="str">
        <x:v>Ready</x:v>
      </x:c>
      <x:c r="AI58" s="46" t="str">
        <x:v>Own parametric CAD</x:v>
      </x:c>
      <x:c r="AJ58" s="46" t="str">
        <x:v>No—own design</x:v>
      </x:c>
      <x:c r="AK58" s="50" t="n">
        <x:v>6.9</x:v>
      </x:c>
      <x:c r="AL58" s="50" t="n">
        <x:f>'Unit Economics'!R58</x:f>
        <x:v>9.6138</x:v>
      </x:c>
      <x:c r="AM58" s="50" t="n">
        <x:f>'Unit Economics'!V58</x:f>
        <x:v>29.154999999999998</x:v>
      </x:c>
      <x:c r="AN58" s="54" t="n">
        <x:f>'Unit Economics'!Y58</x:f>
        <x:v>0.5576</x:v>
      </x:c>
      <x:c r="AO58" s="48" t="n">
        <x:f>ROUND(H58*Assumptions!$B$39+I58*20*Assumptions!$B$40+J58*20*Assumptions!$B$41+K58*20*Assumptions!$B$42+L58*20*Assumptions!$B$43+(6-AC58)*20*Assumptions!$B$44,1)</x:f>
        <x:v>87.3</x:v>
      </x:c>
      <x:c r="AP58" s="46" t="str">
        <x:f>IF(OR(AC58&gt;=4,AD58="Yes",AE58="Yes",AF58="Complete electrical"),"Specialist / Hold",IF(AND(AO58&gt;=92,AH58="Ready",AC58&lt;=2),"Wave 1",IF(AO58&gt;=82,"Wave 2","Wave 3")))</x:f>
        <x:v>Wave 2</x:v>
      </x:c>
      <x:c r="AQ58" s="46" t="str">
        <x:v>S01; S04; S11; S16; S18</x:v>
      </x:c>
      <x:c r="AR58" s="46" t="str">
        <x:v>Backlog</x:v>
      </x:c>
      <x:c r="AS58" s="46" t="str">
        <x:v>Prototype three resistance profiles</x:v>
      </x:c>
      <x:c r="AT58" s="46" t="str"/>
    </x:row>
    <x:row r="59" ht="42" customHeight="1">
      <x:c r="A59" s="46" t="str">
        <x:v>SKU-058</x:v>
      </x:c>
      <x:c r="B59" s="46" t="str">
        <x:v>Remote-control grip sleeve</x:v>
      </x:c>
      <x:c r="C59" s="46" t="str">
        <x:v>Custom TPU cases, sleeves &amp; bumpers</x:v>
      </x:c>
      <x:c r="D59" s="46" t="n">
        <x:v>14</x:v>
      </x:c>
      <x:c r="E59" s="46" t="str">
        <x:v>Add grip and protection to a specific remote without blocking buttons or signals.</x:v>
      </x:c>
      <x:c r="F59" s="46" t="str">
        <x:v>Households, elderly users and accessibility use cases</x:v>
      </x:c>
      <x:c r="G59" s="46" t="str">
        <x:v>Etsy reports polka-dot phone-case searches up 835%, highlighting fashion-driven accessory demand.</x:v>
      </x:c>
      <x:c r="H59" s="52" t="n">
        <x:v>80</x:v>
      </x:c>
      <x:c r="I59" s="52" t="n">
        <x:v>5</x:v>
      </x:c>
      <x:c r="J59" s="52" t="n">
        <x:v>5</x:v>
      </x:c>
      <x:c r="K59" s="52" t="n">
        <x:v>4</x:v>
      </x:c>
      <x:c r="L59" s="52" t="n">
        <x:v>4</x:v>
      </x:c>
      <x:c r="M59" s="52" t="n">
        <x:v>205</x:v>
      </x:c>
      <x:c r="N59" s="52" t="n">
        <x:v>75</x:v>
      </x:c>
      <x:c r="O59" s="52" t="n">
        <x:v>32</x:v>
      </x:c>
      <x:c r="P59" s="46" t="str">
        <x:v>M</x:v>
      </x:c>
      <x:c r="Q59" s="46" t="str">
        <x:v>Single TPU sleeve</x:v>
      </x:c>
      <x:c r="R59" s="46" t="str">
        <x:v>TPU</x:v>
      </x:c>
      <x:c r="S59" s="46" t="str">
        <x:v>None</x:v>
      </x:c>
      <x:c r="T59" s="46" t="str">
        <x:v>Flexible-capable 250 mm</x:v>
      </x:c>
      <x:c r="U59" s="46" t="str">
        <x:v>No</x:v>
      </x:c>
      <x:c r="V59" s="46" t="str">
        <x:v>None</x:v>
      </x:c>
      <x:c r="W59" s="52" t="n">
        <x:v>3</x:v>
      </x:c>
      <x:c r="X59" s="46" t="str">
        <x:v>Remote dimensions/model, button layout, grip texture</x:v>
      </x:c>
      <x:c r="Y59" s="46" t="str">
        <x:v>Sleeve thickness, openings, ribs, lanyard loop</x:v>
      </x:c>
      <x:c r="Z59" s="46" t="str">
        <x:v>Fit, button access, IR/RF obstruction check, removal cycles</x:v>
      </x:c>
      <x:c r="AA59" s="46" t="str">
        <x:v>Accessory only; no waterproof or impact certification claim</x:v>
      </x:c>
      <x:c r="AB59" s="46" t="str">
        <x:v>GPSR + flexible accessory fit validation</x:v>
      </x:c>
      <x:c r="AC59" s="52" t="n">
        <x:v>2</x:v>
      </x:c>
      <x:c r="AD59" s="46" t="str">
        <x:v>No</x:v>
      </x:c>
      <x:c r="AE59" s="46" t="str">
        <x:v>Potential</x:v>
      </x:c>
      <x:c r="AF59" s="46" t="str">
        <x:v>Accessory only</x:v>
      </x:c>
      <x:c r="AG59" s="46" t="str">
        <x:v>No</x:v>
      </x:c>
      <x:c r="AH59" s="46" t="str">
        <x:v>Guided</x:v>
      </x:c>
      <x:c r="AI59" s="46" t="str">
        <x:v>Own parametric CAD; compatibility wording</x:v>
      </x:c>
      <x:c r="AJ59" s="46" t="str">
        <x:v>No—own design</x:v>
      </x:c>
      <x:c r="AK59" s="50" t="n">
        <x:v>8.9</x:v>
      </x:c>
      <x:c r="AL59" s="50" t="n">
        <x:f>'Unit Economics'!R59</x:f>
        <x:v>12.72068</x:v>
      </x:c>
      <x:c r="AM59" s="50" t="n">
        <x:f>'Unit Economics'!V59</x:f>
        <x:v>38.08</x:v>
      </x:c>
      <x:c r="AN59" s="54" t="n">
        <x:f>'Unit Economics'!Y59</x:f>
        <x:v>0.5524787499999999</x:v>
      </x:c>
      <x:c r="AO59" s="48" t="n">
        <x:f>ROUND(H59*Assumptions!$B$39+I59*20*Assumptions!$B$40+J59*20*Assumptions!$B$41+K59*20*Assumptions!$B$42+L59*20*Assumptions!$B$43+(6-AC59)*20*Assumptions!$B$44,1)</x:f>
        <x:v>87</x:v>
      </x:c>
      <x:c r="AP59" s="46" t="str">
        <x:f>IF(OR(AC59&gt;=4,AD59="Yes",AE59="Yes",AF59="Complete electrical"),"Specialist / Hold",IF(AND(AO59&gt;=92,AH59="Ready",AC59&lt;=2),"Wave 1",IF(AO59&gt;=82,"Wave 2","Wave 3")))</x:f>
        <x:v>Wave 2</x:v>
      </x:c>
      <x:c r="AQ59" s="46" t="str">
        <x:v>S01; S11; S19; S30</x:v>
      </x:c>
      <x:c r="AR59" s="46" t="str">
        <x:v>Backlog</x:v>
      </x:c>
      <x:c r="AS59" s="46" t="str">
        <x:v>Pilot accessibility textures and easy-removal lip</x:v>
      </x:c>
      <x:c r="AT59" s="46" t="str"/>
    </x:row>
    <x:row r="60" ht="42" customHeight="1">
      <x:c r="A60" s="46" t="str">
        <x:v>SKU-059</x:v>
      </x:c>
      <x:c r="B60" s="46" t="str">
        <x:v>Modular centerpiece vessel set</x:v>
      </x:c>
      <x:c r="C60" s="46" t="str">
        <x:v>Vases &amp; sculptural containers</x:v>
      </x:c>
      <x:c r="D60" s="46" t="n">
        <x:v>8</x:v>
      </x:c>
      <x:c r="E60" s="46" t="str">
        <x:v>Build a larger table centerpiece from printer-sized modules.</x:v>
      </x:c>
      <x:c r="F60" s="46" t="str">
        <x:v>Events, restaurants and design-led homes</x:v>
      </x:c>
      <x:c r="G60" s="46" t="str">
        <x:v>2026 decor signals favor sculptural silhouettes, visible texture and personalized interiors.</x:v>
      </x:c>
      <x:c r="H60" s="52" t="n">
        <x:v>86</x:v>
      </x:c>
      <x:c r="I60" s="52" t="n">
        <x:v>5</x:v>
      </x:c>
      <x:c r="J60" s="52" t="n">
        <x:v>5</x:v>
      </x:c>
      <x:c r="K60" s="52" t="n">
        <x:v>4</x:v>
      </x:c>
      <x:c r="L60" s="52" t="n">
        <x:v>3</x:v>
      </x:c>
      <x:c r="M60" s="52" t="n">
        <x:v>235</x:v>
      </x:c>
      <x:c r="N60" s="52" t="n">
        <x:v>235</x:v>
      </x:c>
      <x:c r="O60" s="52" t="n">
        <x:v>230</x:v>
      </x:c>
      <x:c r="P60" s="46" t="str">
        <x:v>M</x:v>
      </x:c>
      <x:c r="Q60" s="46" t="str">
        <x:v>Interlocking modules with optional liner</x:v>
      </x:c>
      <x:c r="R60" s="46" t="str">
        <x:v>PLA</x:v>
      </x:c>
      <x:c r="S60" s="46" t="str">
        <x:v>Separate liner or dry insert</x:v>
      </x:c>
      <x:c r="T60" s="46" t="str">
        <x:v>Core 250 mm</x:v>
      </x:c>
      <x:c r="U60" s="46" t="str">
        <x:v>No</x:v>
      </x:c>
      <x:c r="V60" s="46" t="str">
        <x:v>Optional</x:v>
      </x:c>
      <x:c r="W60" s="52" t="n">
        <x:v>3</x:v>
      </x:c>
      <x:c r="X60" s="46" t="str">
        <x:v>Table dimensions, assembled length, use and style</x:v>
      </x:c>
      <x:c r="Y60" s="46" t="str">
        <x:v>Module count, joints, openings, base connectors</x:v>
      </x:c>
      <x:c r="Z60" s="46" t="str">
        <x:v>Joint stability, table-scratch check, assembled tip test</x:v>
      </x:c>
      <x:c r="AA60" s="46" t="str">
        <x:v>Decorative dry use or separate liner only</x:v>
      </x:c>
      <x:c r="AB60" s="46" t="str">
        <x:v>GPSR + assembly/stability validation</x:v>
      </x:c>
      <x:c r="AC60" s="52" t="n">
        <x:v>2</x:v>
      </x:c>
      <x:c r="AD60" s="46" t="str">
        <x:v>No</x:v>
      </x:c>
      <x:c r="AE60" s="46" t="str">
        <x:v>No</x:v>
      </x:c>
      <x:c r="AF60" s="46" t="str">
        <x:v>No</x:v>
      </x:c>
      <x:c r="AG60" s="46" t="str">
        <x:v>No</x:v>
      </x:c>
      <x:c r="AH60" s="46" t="str">
        <x:v>Guided</x:v>
      </x:c>
      <x:c r="AI60" s="46" t="str">
        <x:v>Own parametric CAD</x:v>
      </x:c>
      <x:c r="AJ60" s="46" t="str">
        <x:v>No—own design</x:v>
      </x:c>
      <x:c r="AK60" s="50" t="n">
        <x:v>14.9</x:v>
      </x:c>
      <x:c r="AL60" s="50" t="n">
        <x:f>'Unit Economics'!R60</x:f>
        <x:v>39.51339</x:v>
      </x:c>
      <x:c r="AM60" s="50" t="n">
        <x:f>'Unit Economics'!V60</x:f>
        <x:v>117.80999999999999</x:v>
      </x:c>
      <x:c r="AN60" s="54" t="n">
        <x:f>'Unit Economics'!Y60</x:f>
        <x:v>0.5508748484848485</x:v>
      </x:c>
      <x:c r="AO60" s="48" t="n">
        <x:f>ROUND(H60*Assumptions!$B$39+I60*20*Assumptions!$B$40+J60*20*Assumptions!$B$41+K60*20*Assumptions!$B$42+L60*20*Assumptions!$B$43+(6-AC60)*20*Assumptions!$B$44,1)</x:f>
        <x:v>86.8</x:v>
      </x:c>
      <x:c r="AP60" s="46" t="str">
        <x:f>IF(OR(AC60&gt;=4,AD60="Yes",AE60="Yes",AF60="Complete electrical"),"Specialist / Hold",IF(AND(AO60&gt;=92,AH60="Ready",AC60&lt;=2),"Wave 1",IF(AO60&gt;=82,"Wave 2","Wave 3")))</x:f>
        <x:v>Wave 2</x:v>
      </x:c>
      <x:c r="AQ60" s="46" t="str">
        <x:v>S02; S03; S11; S19</x:v>
      </x:c>
      <x:c r="AR60" s="46" t="str">
        <x:v>Backlog</x:v>
      </x:c>
      <x:c r="AS60" s="46" t="str">
        <x:v>Develop hidden joint and event bundle pricing</x:v>
      </x:c>
      <x:c r="AT60" s="46" t="str"/>
    </x:row>
    <x:row r="61" ht="42" customHeight="1">
      <x:c r="A61" s="46" t="str">
        <x:v>SKU-060</x:v>
      </x:c>
      <x:c r="B61" s="46" t="str">
        <x:v>E-reader corner-bumper case</x:v>
      </x:c>
      <x:c r="C61" s="46" t="str">
        <x:v>Custom TPU cases, sleeves &amp; bumpers</x:v>
      </x:c>
      <x:c r="D61" s="46" t="n">
        <x:v>14</x:v>
      </x:c>
      <x:c r="E61" s="46" t="str">
        <x:v>Protect corners and improve grip while keeping the device back mostly open.</x:v>
      </x:c>
      <x:c r="F61" s="46" t="str">
        <x:v>Readers and commuters</x:v>
      </x:c>
      <x:c r="G61" s="46" t="str">
        <x:v>Etsy reports polka-dot phone-case searches up 835%, highlighting fashion-driven accessory demand.</x:v>
      </x:c>
      <x:c r="H61" s="52" t="n">
        <x:v>79</x:v>
      </x:c>
      <x:c r="I61" s="52" t="n">
        <x:v>5</x:v>
      </x:c>
      <x:c r="J61" s="52" t="n">
        <x:v>5</x:v>
      </x:c>
      <x:c r="K61" s="52" t="n">
        <x:v>4</x:v>
      </x:c>
      <x:c r="L61" s="52" t="n">
        <x:v>4</x:v>
      </x:c>
      <x:c r="M61" s="52" t="n">
        <x:v>225</x:v>
      </x:c>
      <x:c r="N61" s="52" t="n">
        <x:v>165</x:v>
      </x:c>
      <x:c r="O61" s="52" t="n">
        <x:v>20</x:v>
      </x:c>
      <x:c r="P61" s="46" t="str">
        <x:v>M</x:v>
      </x:c>
      <x:c r="Q61" s="46" t="str">
        <x:v>TPU perimeter/corner shell</x:v>
      </x:c>
      <x:c r="R61" s="46" t="str">
        <x:v>TPU</x:v>
      </x:c>
      <x:c r="S61" s="46" t="str">
        <x:v>Optional PETG stand insert</x:v>
      </x:c>
      <x:c r="T61" s="46" t="str">
        <x:v>Flexible-capable 250 mm</x:v>
      </x:c>
      <x:c r="U61" s="46" t="str">
        <x:v>No</x:v>
      </x:c>
      <x:c r="V61" s="46" t="str">
        <x:v>None</x:v>
      </x:c>
      <x:c r="W61" s="52" t="n">
        <x:v>4</x:v>
      </x:c>
      <x:c r="X61" s="46" t="str">
        <x:v>Exact e-reader dimensions/model, cover preference, texture</x:v>
      </x:c>
      <x:c r="Y61" s="46" t="str">
        <x:v>Corner thickness, bezel lip, openings, grip ribs</x:v>
      </x:c>
      <x:c r="Z61" s="46" t="str">
        <x:v>Fit, page-button access, removal cycles, heat/vent check</x:v>
      </x:c>
      <x:c r="AA61" s="46" t="str">
        <x:v>No certified drop protection claim; do not block vents/sensors</x:v>
      </x:c>
      <x:c r="AB61" s="46" t="str">
        <x:v>GPSR + flexible protective accessory validation</x:v>
      </x:c>
      <x:c r="AC61" s="52" t="n">
        <x:v>2</x:v>
      </x:c>
      <x:c r="AD61" s="46" t="str">
        <x:v>No</x:v>
      </x:c>
      <x:c r="AE61" s="46" t="str">
        <x:v>No</x:v>
      </x:c>
      <x:c r="AF61" s="46" t="str">
        <x:v>Accessory only</x:v>
      </x:c>
      <x:c r="AG61" s="46" t="str">
        <x:v>No</x:v>
      </x:c>
      <x:c r="AH61" s="46" t="str">
        <x:v>Guided</x:v>
      </x:c>
      <x:c r="AI61" s="46" t="str">
        <x:v>Own parametric CAD</x:v>
      </x:c>
      <x:c r="AJ61" s="46" t="str">
        <x:v>No—own design</x:v>
      </x:c>
      <x:c r="AK61" s="50" t="n">
        <x:v>11.9</x:v>
      </x:c>
      <x:c r="AL61" s="50" t="n">
        <x:f>'Unit Economics'!R61</x:f>
        <x:v>17.283</x:v>
      </x:c>
      <x:c r="AM61" s="50" t="n">
        <x:f>'Unit Economics'!V61</x:f>
        <x:v>51.765</x:v>
      </x:c>
      <x:c r="AN61" s="54" t="n">
        <x:f>'Unit Economics'!Y61</x:f>
        <x:v>0.5526896551724138</x:v>
      </x:c>
      <x:c r="AO61" s="48" t="n">
        <x:f>ROUND(H61*Assumptions!$B$39+I61*20*Assumptions!$B$40+J61*20*Assumptions!$B$41+K61*20*Assumptions!$B$42+L61*20*Assumptions!$B$43+(6-AC61)*20*Assumptions!$B$44,1)</x:f>
        <x:v>86.7</x:v>
      </x:c>
      <x:c r="AP61" s="46" t="str">
        <x:f>IF(OR(AC61&gt;=4,AD61="Yes",AE61="Yes",AF61="Complete electrical"),"Specialist / Hold",IF(AND(AO61&gt;=92,AH61="Ready",AC61&lt;=2),"Wave 1",IF(AO61&gt;=82,"Wave 2","Wave 3")))</x:f>
        <x:v>Wave 2</x:v>
      </x:c>
      <x:c r="AQ61" s="46" t="str">
        <x:v>S01; S11; S19; S30</x:v>
      </x:c>
      <x:c r="AR61" s="46" t="str">
        <x:v>Backlog</x:v>
      </x:c>
      <x:c r="AS61" s="46" t="str">
        <x:v>Build exact-fit test block and two device presets</x:v>
      </x:c>
      <x:c r="AT61" s="46" t="str"/>
    </x:row>
    <x:row r="62" ht="42" customHeight="1">
      <x:c r="A62" s="46" t="str">
        <x:v>SKU-061</x:v>
      </x:c>
      <x:c r="B62" s="46" t="str">
        <x:v>Headset and controller combo tower</x:v>
      </x:c>
      <x:c r="C62" s="46" t="str">
        <x:v>Headphone, controller &amp; VR stands</x:v>
      </x:c>
      <x:c r="D62" s="46" t="n">
        <x:v>9</x:v>
      </x:c>
      <x:c r="E62" s="46" t="str">
        <x:v>Combine headset, controllers and cable storage vertically.</x:v>
      </x:c>
      <x:c r="F62" s="46" t="str">
        <x:v>Gaming setup enthusiasts</x:v>
      </x:c>
      <x:c r="G62" s="46" t="str">
        <x:v>Home-office and gaming setup personalization continues to support functional desk accessories.</x:v>
      </x:c>
      <x:c r="H62" s="52" t="n">
        <x:v>85</x:v>
      </x:c>
      <x:c r="I62" s="52" t="n">
        <x:v>5</x:v>
      </x:c>
      <x:c r="J62" s="52" t="n">
        <x:v>5</x:v>
      </x:c>
      <x:c r="K62" s="52" t="n">
        <x:v>4</x:v>
      </x:c>
      <x:c r="L62" s="52" t="n">
        <x:v>3</x:v>
      </x:c>
      <x:c r="M62" s="52" t="n">
        <x:v>235</x:v>
      </x:c>
      <x:c r="N62" s="52" t="n">
        <x:v>225</x:v>
      </x:c>
      <x:c r="O62" s="52" t="n">
        <x:v>240</x:v>
      </x:c>
      <x:c r="P62" s="46" t="str">
        <x:v>M</x:v>
      </x:c>
      <x:c r="Q62" s="46" t="str">
        <x:v>Multi-part tower</x:v>
      </x:c>
      <x:c r="R62" s="46" t="str">
        <x:v>PETG</x:v>
      </x:c>
      <x:c r="S62" s="46" t="str">
        <x:v>TPU pads and optional ballast</x:v>
      </x:c>
      <x:c r="T62" s="46" t="str">
        <x:v>Core 250 mm</x:v>
      </x:c>
      <x:c r="U62" s="46" t="str">
        <x:v>No</x:v>
      </x:c>
      <x:c r="V62" s="46" t="str">
        <x:v>Optional</x:v>
      </x:c>
      <x:c r="W62" s="52" t="n">
        <x:v>3</x:v>
      </x:c>
      <x:c r="X62" s="46" t="str">
        <x:v>Device set, desk footprint, preferred orientation</x:v>
      </x:c>
      <x:c r="Y62" s="46" t="str">
        <x:v>Arm heights, cradles, base, cable tray, ballast</x:v>
      </x:c>
      <x:c r="Z62" s="46" t="str">
        <x:v>Full-load tip test, joint cycles, contact check</x:v>
      </x:c>
      <x:c r="AA62" s="46" t="str">
        <x:v>Passive organizer; no charging or powered hub</x:v>
      </x:c>
      <x:c r="AB62" s="46" t="str">
        <x:v>GPSR + stability/assembly validation</x:v>
      </x:c>
      <x:c r="AC62" s="52" t="n">
        <x:v>2</x:v>
      </x:c>
      <x:c r="AD62" s="46" t="str">
        <x:v>No</x:v>
      </x:c>
      <x:c r="AE62" s="46" t="str">
        <x:v>Potential</x:v>
      </x:c>
      <x:c r="AF62" s="46" t="str">
        <x:v>Accessory only</x:v>
      </x:c>
      <x:c r="AG62" s="46" t="str">
        <x:v>Light duty</x:v>
      </x:c>
      <x:c r="AH62" s="46" t="str">
        <x:v>Guided</x:v>
      </x:c>
      <x:c r="AI62" s="46" t="str">
        <x:v>Own parametric CAD</x:v>
      </x:c>
      <x:c r="AJ62" s="46" t="str">
        <x:v>No—own design</x:v>
      </x:c>
      <x:c r="AK62" s="50" t="n">
        <x:v>14.9</x:v>
      </x:c>
      <x:c r="AL62" s="50" t="n">
        <x:f>'Unit Economics'!R62</x:f>
        <x:v>42.991620000000005</x:v>
      </x:c>
      <x:c r="AM62" s="50" t="n">
        <x:f>'Unit Economics'!V62</x:f>
        <x:v>127.925</x:v>
      </x:c>
      <x:c r="AN62" s="54" t="n">
        <x:f>'Unit Economics'!Y62</x:f>
        <x:v>0.550077953488372</x:v>
      </x:c>
      <x:c r="AO62" s="48" t="n">
        <x:f>ROUND(H62*Assumptions!$B$39+I62*20*Assumptions!$B$40+J62*20*Assumptions!$B$41+K62*20*Assumptions!$B$42+L62*20*Assumptions!$B$43+(6-AC62)*20*Assumptions!$B$44,1)</x:f>
        <x:v>86.5</x:v>
      </x:c>
      <x:c r="AP62" s="46" t="str">
        <x:f>IF(OR(AC62&gt;=4,AD62="Yes",AE62="Yes",AF62="Complete electrical"),"Specialist / Hold",IF(AND(AO62&gt;=92,AH62="Ready",AC62&lt;=2),"Wave 1",IF(AO62&gt;=82,"Wave 2","Wave 3")))</x:f>
        <x:v>Wave 2</x:v>
      </x:c>
      <x:c r="AQ62" s="46" t="str">
        <x:v>S05; S11; S19</x:v>
      </x:c>
      <x:c r="AR62" s="46" t="str">
        <x:v>Backlog</x:v>
      </x:c>
      <x:c r="AS62" s="46" t="str">
        <x:v>Optimize center of gravity and tool-free assembly</x:v>
      </x:c>
      <x:c r="AT62" s="46" t="str"/>
    </x:row>
    <x:row r="63" ht="42" customHeight="1">
      <x:c r="A63" s="46" t="str">
        <x:v>SKU-062</x:v>
      </x:c>
      <x:c r="B63" s="46" t="str">
        <x:v>VR headset and controller cradle</x:v>
      </x:c>
      <x:c r="C63" s="46" t="str">
        <x:v>Headphone, controller &amp; VR stands</x:v>
      </x:c>
      <x:c r="D63" s="46" t="n">
        <x:v>9</x:v>
      </x:c>
      <x:c r="E63" s="46" t="str">
        <x:v>Store a specific VR headset and controllers without lens or trigger contact.</x:v>
      </x:c>
      <x:c r="F63" s="46" t="str">
        <x:v>VR owners and gaming rooms</x:v>
      </x:c>
      <x:c r="G63" s="46" t="str">
        <x:v>Home-office and gaming setup personalization continues to support functional desk accessories.</x:v>
      </x:c>
      <x:c r="H63" s="52" t="n">
        <x:v>85</x:v>
      </x:c>
      <x:c r="I63" s="52" t="n">
        <x:v>5</x:v>
      </x:c>
      <x:c r="J63" s="52" t="n">
        <x:v>5</x:v>
      </x:c>
      <x:c r="K63" s="52" t="n">
        <x:v>4</x:v>
      </x:c>
      <x:c r="L63" s="52" t="n">
        <x:v>3</x:v>
      </x:c>
      <x:c r="M63" s="52" t="n">
        <x:v>240</x:v>
      </x:c>
      <x:c r="N63" s="52" t="n">
        <x:v>225</x:v>
      </x:c>
      <x:c r="O63" s="52" t="n">
        <x:v>235</x:v>
      </x:c>
      <x:c r="P63" s="46" t="str">
        <x:v>M</x:v>
      </x:c>
      <x:c r="Q63" s="46" t="str">
        <x:v>Base + device-specific cradles</x:v>
      </x:c>
      <x:c r="R63" s="46" t="str">
        <x:v>PETG</x:v>
      </x:c>
      <x:c r="S63" s="46" t="str">
        <x:v>TPU pads</x:v>
      </x:c>
      <x:c r="T63" s="46" t="str">
        <x:v>Core 250 mm</x:v>
      </x:c>
      <x:c r="U63" s="46" t="str">
        <x:v>No</x:v>
      </x:c>
      <x:c r="V63" s="46" t="str">
        <x:v>Optional</x:v>
      </x:c>
      <x:c r="W63" s="52" t="n">
        <x:v>3</x:v>
      </x:c>
      <x:c r="X63" s="46" t="str">
        <x:v>Headset/controller models, strap configuration, space</x:v>
      </x:c>
      <x:c r="Y63" s="46" t="str">
        <x:v>Cradle contact zones, heights, cable hooks, base</x:v>
      </x:c>
      <x:c r="Z63" s="46" t="str">
        <x:v>Fit, lens clearance, tip stability, strap compression check</x:v>
      </x:c>
      <x:c r="AA63" s="46" t="str">
        <x:v>Passive storage only; keep lenses away from direct sunlight</x:v>
      </x:c>
      <x:c r="AB63" s="46" t="str">
        <x:v>GPSR + fit/stability validation</x:v>
      </x:c>
      <x:c r="AC63" s="52" t="n">
        <x:v>2</x:v>
      </x:c>
      <x:c r="AD63" s="46" t="str">
        <x:v>No</x:v>
      </x:c>
      <x:c r="AE63" s="46" t="str">
        <x:v>Potential</x:v>
      </x:c>
      <x:c r="AF63" s="46" t="str">
        <x:v>Accessory only</x:v>
      </x:c>
      <x:c r="AG63" s="46" t="str">
        <x:v>No</x:v>
      </x:c>
      <x:c r="AH63" s="46" t="str">
        <x:v>Guided</x:v>
      </x:c>
      <x:c r="AI63" s="46" t="str">
        <x:v>Own CAD; compatibility wording review</x:v>
      </x:c>
      <x:c r="AJ63" s="46" t="str">
        <x:v>No—own design</x:v>
      </x:c>
      <x:c r="AK63" s="50" t="n">
        <x:v>14.9</x:v>
      </x:c>
      <x:c r="AL63" s="50" t="n">
        <x:f>'Unit Economics'!R63</x:f>
        <x:v>46.07848</x:v>
      </x:c>
      <x:c r="AM63" s="50" t="n">
        <x:f>'Unit Economics'!V63</x:f>
        <x:v>137.445</x:v>
      </x:c>
      <x:c r="AN63" s="54" t="n">
        <x:f>'Unit Economics'!Y63</x:f>
        <x:v>0.5510521212121212</x:v>
      </x:c>
      <x:c r="AO63" s="48" t="n">
        <x:f>ROUND(H63*Assumptions!$B$39+I63*20*Assumptions!$B$40+J63*20*Assumptions!$B$41+K63*20*Assumptions!$B$42+L63*20*Assumptions!$B$43+(6-AC63)*20*Assumptions!$B$44,1)</x:f>
        <x:v>86.5</x:v>
      </x:c>
      <x:c r="AP63" s="46" t="str">
        <x:f>IF(OR(AC63&gt;=4,AD63="Yes",AE63="Yes",AF63="Complete electrical"),"Specialist / Hold",IF(AND(AO63&gt;=92,AH63="Ready",AC63&lt;=2),"Wave 1",IF(AO63&gt;=82,"Wave 2","Wave 3")))</x:f>
        <x:v>Wave 2</x:v>
      </x:c>
      <x:c r="AQ63" s="46" t="str">
        <x:v>S05; S11; S19</x:v>
      </x:c>
      <x:c r="AR63" s="46" t="str">
        <x:v>Backlog</x:v>
      </x:c>
      <x:c r="AS63" s="46" t="str">
        <x:v>Pilot with two current headset families</x:v>
      </x:c>
      <x:c r="AT63" s="46" t="str"/>
    </x:row>
    <x:row r="64" ht="42" customHeight="1">
      <x:c r="A64" s="46" t="str">
        <x:v>SKU-063</x:v>
      </x:c>
      <x:c r="B64" s="46" t="str">
        <x:v>Outdoor house-number plaque</x:v>
      </x:c>
      <x:c r="C64" s="46" t="str">
        <x:v>Personalized signs, house numbers &amp; event decor</x:v>
      </x:c>
      <x:c r="D64" s="46" t="n">
        <x:v>11</x:v>
      </x:c>
      <x:c r="E64" s="46" t="str">
        <x:v>Create a weather-resistant plaque matched to the facade and mounting points.</x:v>
      </x:c>
      <x:c r="F64" s="46" t="str">
        <x:v>Homeowners, landlords and gifts</x:v>
      </x:c>
      <x:c r="G64" s="46" t="str">
        <x:v>Personalized gifting and 2026 celebration/party-decor growth support made-to-order signage.</x:v>
      </x:c>
      <x:c r="H64" s="52" t="n">
        <x:v>84</x:v>
      </x:c>
      <x:c r="I64" s="52" t="n">
        <x:v>5</x:v>
      </x:c>
      <x:c r="J64" s="52" t="n">
        <x:v>5</x:v>
      </x:c>
      <x:c r="K64" s="52" t="n">
        <x:v>4</x:v>
      </x:c>
      <x:c r="L64" s="52" t="n">
        <x:v>4</x:v>
      </x:c>
      <x:c r="M64" s="52" t="n">
        <x:v>235</x:v>
      </x:c>
      <x:c r="N64" s="52" t="n">
        <x:v>130</x:v>
      </x:c>
      <x:c r="O64" s="52" t="n">
        <x:v>18</x:v>
      </x:c>
      <x:c r="P64" s="46" t="str">
        <x:v>M</x:v>
      </x:c>
      <x:c r="Q64" s="46" t="str">
        <x:v>Single or multi-color plaque</x:v>
      </x:c>
      <x:c r="R64" s="46" t="str">
        <x:v>ASA</x:v>
      </x:c>
      <x:c r="S64" s="46" t="str">
        <x:v>Certified screws/spacers</x:v>
      </x:c>
      <x:c r="T64" s="46" t="str">
        <x:v>Enclosed 250 mm</x:v>
      </x:c>
      <x:c r="U64" s="46" t="str">
        <x:v>Yes</x:v>
      </x:c>
      <x:c r="V64" s="46" t="str">
        <x:v>None</x:v>
      </x:c>
      <x:c r="W64" s="52" t="n">
        <x:v>3</x:v>
      </x:c>
      <x:c r="X64" s="46" t="str">
        <x:v>Number/text, dimensions, facade type, hole spacing, colors</x:v>
      </x:c>
      <x:c r="Y64" s="46" t="str">
        <x:v>Text, font, contrast, holes, border, standoffs</x:v>
      </x:c>
      <x:c r="Z64" s="46" t="str">
        <x:v>UV/material check, fastener test, readability and edge inspection</x:v>
      </x:c>
      <x:c r="AA64" s="46" t="str">
        <x:v>Outdoor use only with qualified ASA process and approved mounting</x:v>
      </x:c>
      <x:c r="AB64" s="46" t="str">
        <x:v>GPSR + outdoor/mounting validation</x:v>
      </x:c>
      <x:c r="AC64" s="52" t="n">
        <x:v>3</x:v>
      </x:c>
      <x:c r="AD64" s="46" t="str">
        <x:v>No</x:v>
      </x:c>
      <x:c r="AE64" s="46" t="str">
        <x:v>No</x:v>
      </x:c>
      <x:c r="AF64" s="46" t="str">
        <x:v>No</x:v>
      </x:c>
      <x:c r="AG64" s="46" t="str">
        <x:v>Light duty</x:v>
      </x:c>
      <x:c r="AH64" s="46" t="str">
        <x:v>Local only</x:v>
      </x:c>
      <x:c r="AI64" s="46" t="str">
        <x:v>Own CAD; commercially licensed fonts</x:v>
      </x:c>
      <x:c r="AJ64" s="46" t="str">
        <x:v>Font license tracking required</x:v>
      </x:c>
      <x:c r="AK64" s="50" t="n">
        <x:v>12.9</x:v>
      </x:c>
      <x:c r="AL64" s="50" t="n">
        <x:f>'Unit Economics'!R64</x:f>
        <x:v>20.273470000000003</x:v>
      </x:c>
      <x:c r="AM64" s="50" t="n">
        <x:f>'Unit Economics'!V64</x:f>
        <x:v>60.69</x:v>
      </x:c>
      <x:c r="AN64" s="54" t="n">
        <x:f>'Unit Economics'!Y64</x:f>
        <x:v>0.5524809803921568</x:v>
      </x:c>
      <x:c r="AO64" s="48" t="n">
        <x:f>ROUND(H64*Assumptions!$B$39+I64*20*Assumptions!$B$40+J64*20*Assumptions!$B$41+K64*20*Assumptions!$B$42+L64*20*Assumptions!$B$43+(6-AC64)*20*Assumptions!$B$44,1)</x:f>
        <x:v>86.2</x:v>
      </x:c>
      <x:c r="AP64" s="46" t="str">
        <x:f>IF(OR(AC64&gt;=4,AD64="Yes",AE64="Yes",AF64="Complete electrical"),"Specialist / Hold",IF(AND(AO64&gt;=92,AH64="Ready",AC64&lt;=2),"Wave 1",IF(AO64&gt;=82,"Wave 2","Wave 3")))</x:f>
        <x:v>Wave 2</x:v>
      </x:c>
      <x:c r="AQ64" s="46" t="str">
        <x:v>S01; S04; S11; S16; S24</x:v>
      </x:c>
      <x:c r="AR64" s="46" t="str">
        <x:v>Backlog</x:v>
      </x:c>
      <x:c r="AS64" s="46" t="str">
        <x:v>Build approved font set and weathering pilot</x:v>
      </x:c>
      <x:c r="AT64" s="46" t="str"/>
    </x:row>
    <x:row r="65" ht="42" customHeight="1">
      <x:c r="A65" s="46" t="str">
        <x:v>SKU-064</x:v>
      </x:c>
      <x:c r="B65" s="46" t="str">
        <x:v>Rotating vanity caddy with standard bearing</x:v>
      </x:c>
      <x:c r="C65" s="46" t="str">
        <x:v>Makeup &amp; vanity organizers</x:v>
      </x:c>
      <x:c r="D65" s="46" t="n">
        <x:v>4</x:v>
      </x:c>
      <x:c r="E65" s="46" t="str">
        <x:v>Provide a compact rotating organizer tailored to a product collection.</x:v>
      </x:c>
      <x:c r="F65" s="46" t="str">
        <x:v>Beauty collectors and salons</x:v>
      </x:c>
      <x:c r="G65" s="46" t="str">
        <x:v>Beauty/self-care personalization plus strong bathroom and vanity organization demand.</x:v>
      </x:c>
      <x:c r="H65" s="52" t="n">
        <x:v>89</x:v>
      </x:c>
      <x:c r="I65" s="52" t="n">
        <x:v>5</x:v>
      </x:c>
      <x:c r="J65" s="52" t="n">
        <x:v>5</x:v>
      </x:c>
      <x:c r="K65" s="52" t="n">
        <x:v>4</x:v>
      </x:c>
      <x:c r="L65" s="52" t="n">
        <x:v>3</x:v>
      </x:c>
      <x:c r="M65" s="52" t="n">
        <x:v>225</x:v>
      </x:c>
      <x:c r="N65" s="52" t="n">
        <x:v>225</x:v>
      </x:c>
      <x:c r="O65" s="52" t="n">
        <x:v>185</x:v>
      </x:c>
      <x:c r="P65" s="46" t="str">
        <x:v>M</x:v>
      </x:c>
      <x:c r="Q65" s="46" t="str">
        <x:v>Multi-part with replaceable standard bearing</x:v>
      </x:c>
      <x:c r="R65" s="46" t="str">
        <x:v>PETG</x:v>
      </x:c>
      <x:c r="S65" s="46" t="str">
        <x:v>608 bearing and rubber feet</x:v>
      </x:c>
      <x:c r="T65" s="46" t="str">
        <x:v>Core 250 mm</x:v>
      </x:c>
      <x:c r="U65" s="46" t="str">
        <x:v>No</x:v>
      </x:c>
      <x:c r="V65" s="46" t="str">
        <x:v>Optional</x:v>
      </x:c>
      <x:c r="W65" s="52" t="n">
        <x:v>3</x:v>
      </x:c>
      <x:c r="X65" s="46" t="str">
        <x:v>Product dimensions/count, shelf height, rotation preference</x:v>
      </x:c>
      <x:c r="Y65" s="46" t="str">
        <x:v>Tier count, slot geometry, bearing seat, center handle</x:v>
      </x:c>
      <x:c r="Z65" s="46" t="str">
        <x:v>Rotation cycle, tip test, bearing retention, load creep</x:v>
      </x:c>
      <x:c r="AA65" s="46" t="str">
        <x:v>Light consumer storage only; bearing is a sourced component</x:v>
      </x:c>
      <x:c r="AB65" s="46" t="str">
        <x:v>GPSR + moving-part and stability validation</x:v>
      </x:c>
      <x:c r="AC65" s="52" t="n">
        <x:v>3</x:v>
      </x:c>
      <x:c r="AD65" s="46" t="str">
        <x:v>No</x:v>
      </x:c>
      <x:c r="AE65" s="46" t="str">
        <x:v>No</x:v>
      </x:c>
      <x:c r="AF65" s="46" t="str">
        <x:v>No</x:v>
      </x:c>
      <x:c r="AG65" s="46" t="str">
        <x:v>Light duty</x:v>
      </x:c>
      <x:c r="AH65" s="46" t="str">
        <x:v>Guided</x:v>
      </x:c>
      <x:c r="AI65" s="46" t="str">
        <x:v>Own parametric CAD; standard component BOM</x:v>
      </x:c>
      <x:c r="AJ65" s="46" t="str">
        <x:v>No—own design</x:v>
      </x:c>
      <x:c r="AK65" s="50" t="n">
        <x:v>14.9</x:v>
      </x:c>
      <x:c r="AL65" s="50" t="n">
        <x:f>'Unit Economics'!R65</x:f>
        <x:v>44.50537</x:v>
      </x:c>
      <x:c r="AM65" s="50" t="n">
        <x:f>'Unit Economics'!V65</x:f>
        <x:v>132.685</x:v>
      </x:c>
      <x:c r="AN65" s="54" t="n">
        <x:f>'Unit Economics'!Y65</x:f>
        <x:v>0.5508486995515695</x:v>
      </x:c>
      <x:c r="AO65" s="48" t="n">
        <x:f>ROUND(H65*Assumptions!$B$39+I65*20*Assumptions!$B$40+J65*20*Assumptions!$B$41+K65*20*Assumptions!$B$42+L65*20*Assumptions!$B$43+(6-AC65)*20*Assumptions!$B$44,1)</x:f>
        <x:v>85.7</x:v>
      </x:c>
      <x:c r="AP65" s="46" t="str">
        <x:f>IF(OR(AC65&gt;=4,AD65="Yes",AE65="Yes",AF65="Complete electrical"),"Specialist / Hold",IF(AND(AO65&gt;=92,AH65="Ready",AC65&lt;=2),"Wave 1",IF(AO65&gt;=82,"Wave 2","Wave 3")))</x:f>
        <x:v>Wave 2</x:v>
      </x:c>
      <x:c r="AQ65" s="46" t="str">
        <x:v>S07; S11; S19</x:v>
      </x:c>
      <x:c r="AR65" s="46" t="str">
        <x:v>Backlog</x:v>
      </x:c>
      <x:c r="AS65" s="46" t="str">
        <x:v>Build stability prototype and bearing sourcing spec</x:v>
      </x:c>
      <x:c r="AT65" s="46" t="str"/>
    </x:row>
    <x:row r="66" ht="42" customHeight="1">
      <x:c r="A66" s="46" t="str">
        <x:v>SKU-065</x:v>
      </x:c>
      <x:c r="B66" s="46" t="str">
        <x:v>LED-tealight lantern shell</x:v>
      </x:c>
      <x:c r="C66" s="46" t="str">
        <x:v>Passive lampshades &amp; light diffusers</x:v>
      </x:c>
      <x:c r="D66" s="46" t="n">
        <x:v>12</x:v>
      </x:c>
      <x:c r="E66" s="46" t="str">
        <x:v>Create a decorative lantern designed only around a battery LED tealight.</x:v>
      </x:c>
      <x:c r="F66" s="46" t="str">
        <x:v>Seasonal decor and gifting</x:v>
      </x:c>
      <x:c r="G66" s="46" t="str">
        <x:v>Nature-aligned lighting and sculptural/sensory decor create demand for distinctive passive light components.</x:v>
      </x:c>
      <x:c r="H66" s="52" t="n">
        <x:v>82</x:v>
      </x:c>
      <x:c r="I66" s="52" t="n">
        <x:v>5</x:v>
      </x:c>
      <x:c r="J66" s="52" t="n">
        <x:v>5</x:v>
      </x:c>
      <x:c r="K66" s="52" t="n">
        <x:v>4</x:v>
      </x:c>
      <x:c r="L66" s="52" t="n">
        <x:v>4</x:v>
      </x:c>
      <x:c r="M66" s="52" t="n">
        <x:v>165</x:v>
      </x:c>
      <x:c r="N66" s="52" t="n">
        <x:v>165</x:v>
      </x:c>
      <x:c r="O66" s="52" t="n">
        <x:v>225</x:v>
      </x:c>
      <x:c r="P66" s="46" t="str">
        <x:v>M</x:v>
      </x:c>
      <x:c r="Q66" s="46" t="str">
        <x:v>Shell + removable LED tray</x:v>
      </x:c>
      <x:c r="R66" s="46" t="str">
        <x:v>PETG</x:v>
      </x:c>
      <x:c r="S66" s="46" t="str">
        <x:v>Separate certified LED tealight</x:v>
      </x:c>
      <x:c r="T66" s="46" t="str">
        <x:v>Core 250 mm</x:v>
      </x:c>
      <x:c r="U66" s="46" t="str">
        <x:v>No</x:v>
      </x:c>
      <x:c r="V66" s="46" t="str">
        <x:v>None</x:v>
      </x:c>
      <x:c r="W66" s="52" t="n">
        <x:v>3</x:v>
      </x:c>
      <x:c r="X66" s="46" t="str">
        <x:v>LED tealight dimensions, pattern, height and color</x:v>
      </x:c>
      <x:c r="Y66" s="46" t="str">
        <x:v>Tray fit, wall pattern, access door, base</x:v>
      </x:c>
      <x:c r="Z66" s="46" t="str">
        <x:v>Fit and temperature check with defined LED unit, tip test</x:v>
      </x:c>
      <x:c r="AA66" s="46" t="str">
        <x:v>LED-only; never use flame, candle, incense or hot light source</x:v>
      </x:c>
      <x:c r="AB66" s="46" t="str">
        <x:v>GPSR + passive-lighting/explicit no-flame validation</x:v>
      </x:c>
      <x:c r="AC66" s="52" t="n">
        <x:v>3</x:v>
      </x:c>
      <x:c r="AD66" s="46" t="str">
        <x:v>No</x:v>
      </x:c>
      <x:c r="AE66" s="46" t="str">
        <x:v>Potential</x:v>
      </x:c>
      <x:c r="AF66" s="46" t="str">
        <x:v>Passive component</x:v>
      </x:c>
      <x:c r="AG66" s="46" t="str">
        <x:v>No</x:v>
      </x:c>
      <x:c r="AH66" s="46" t="str">
        <x:v>Guided</x:v>
      </x:c>
      <x:c r="AI66" s="46" t="str">
        <x:v>Own original pattern library</x:v>
      </x:c>
      <x:c r="AJ66" s="46" t="str">
        <x:v>No—own design</x:v>
      </x:c>
      <x:c r="AK66" s="50" t="n">
        <x:v>10.9</x:v>
      </x:c>
      <x:c r="AL66" s="50" t="n">
        <x:f>'Unit Economics'!R66</x:f>
        <x:v>22.559110000000004</x:v>
      </x:c>
      <x:c r="AM66" s="50" t="n">
        <x:f>'Unit Economics'!V66</x:f>
        <x:v>67.235</x:v>
      </x:c>
      <x:c r="AN66" s="54" t="n">
        <x:f>'Unit Economics'!Y66</x:f>
        <x:v>0.5507237168141592</x:v>
      </x:c>
      <x:c r="AO66" s="48" t="n">
        <x:f>ROUND(H66*Assumptions!$B$39+I66*20*Assumptions!$B$40+J66*20*Assumptions!$B$41+K66*20*Assumptions!$B$42+L66*20*Assumptions!$B$43+(6-AC66)*20*Assumptions!$B$44,1)</x:f>
        <x:v>85.6</x:v>
      </x:c>
      <x:c r="AP66" s="46" t="str">
        <x:f>IF(OR(AC66&gt;=4,AD66="Yes",AE66="Yes",AF66="Complete electrical"),"Specialist / Hold",IF(AND(AO66&gt;=92,AH66="Ready",AC66&lt;=2),"Wave 1",IF(AO66&gt;=82,"Wave 2","Wave 3")))</x:f>
        <x:v>Wave 2</x:v>
      </x:c>
      <x:c r="AQ66" s="46" t="str">
        <x:v>S02; S11; S15; S19; S20; S28</x:v>
      </x:c>
      <x:c r="AR66" s="46" t="str">
        <x:v>Backlog</x:v>
      </x:c>
      <x:c r="AS66" s="46" t="str">
        <x:v>Develop prominent no-flame marking and approved LED list</x:v>
      </x:c>
      <x:c r="AT66" s="46" t="str"/>
    </x:row>
    <x:row r="67" ht="42" customHeight="1">
      <x:c r="A67" s="46" t="str">
        <x:v>SKU-066</x:v>
      </x:c>
      <x:c r="B67" s="46" t="str">
        <x:v>Parametric pegboard hook pack</x:v>
      </x:c>
      <x:c r="C67" s="46" t="str">
        <x:v>Modular pegboard &amp; wall-storage ecosystems</x:v>
      </x:c>
      <x:c r="D67" s="46" t="n">
        <x:v>16</x:v>
      </x:c>
      <x:c r="E67" s="46" t="str">
        <x:v>Generate hooks that match specific tools and loads within the proprietary grid.</x:v>
      </x:c>
      <x:c r="F67" s="46" t="str">
        <x:v>Workshops, craft and hobby users</x:v>
      </x:c>
      <x:c r="G67" s="46" t="str">
        <x:v>Organization and hardware-storage demand combines with strong maker interest in modular wall systems.</x:v>
      </x:c>
      <x:c r="H67" s="52" t="n">
        <x:v>79</x:v>
      </x:c>
      <x:c r="I67" s="52" t="n">
        <x:v>5</x:v>
      </x:c>
      <x:c r="J67" s="52" t="n">
        <x:v>5</x:v>
      </x:c>
      <x:c r="K67" s="52" t="n">
        <x:v>4</x:v>
      </x:c>
      <x:c r="L67" s="52" t="n">
        <x:v>4</x:v>
      </x:c>
      <x:c r="M67" s="52" t="n">
        <x:v>105</x:v>
      </x:c>
      <x:c r="N67" s="52" t="n">
        <x:v>60</x:v>
      </x:c>
      <x:c r="O67" s="52" t="n">
        <x:v>55</x:v>
      </x:c>
      <x:c r="P67" s="46" t="str">
        <x:v>S</x:v>
      </x:c>
      <x:c r="Q67" s="46" t="str">
        <x:v>Hook set in selected sizes</x:v>
      </x:c>
      <x:c r="R67" s="46" t="str">
        <x:v>PETG</x:v>
      </x:c>
      <x:c r="S67" s="46" t="str">
        <x:v>None</x:v>
      </x:c>
      <x:c r="T67" s="46" t="str">
        <x:v>Core 250 mm</x:v>
      </x:c>
      <x:c r="U67" s="46" t="str">
        <x:v>No</x:v>
      </x:c>
      <x:c r="V67" s="46" t="str">
        <x:v>None</x:v>
      </x:c>
      <x:c r="W67" s="52" t="n">
        <x:v>2</x:v>
      </x:c>
      <x:c r="X67" s="46" t="str">
        <x:v>Object diameter/weight, hook depth and quantity</x:v>
      </x:c>
      <x:c r="Y67" s="46" t="str">
        <x:v>Hook diameter, depth, ribbing, latch, label</x:v>
      </x:c>
      <x:c r="Z67" s="46" t="str">
        <x:v>Proof load, 1,000 cycles, panel-interface fit</x:v>
      </x:c>
      <x:c r="AA67" s="46" t="str">
        <x:v>Only within tested hook and panel load classes</x:v>
      </x:c>
      <x:c r="AB67" s="46" t="str">
        <x:v>GPSR + load/interface validation</x:v>
      </x:c>
      <x:c r="AC67" s="52" t="n">
        <x:v>3</x:v>
      </x:c>
      <x:c r="AD67" s="46" t="str">
        <x:v>No</x:v>
      </x:c>
      <x:c r="AE67" s="46" t="str">
        <x:v>Potential</x:v>
      </x:c>
      <x:c r="AF67" s="46" t="str">
        <x:v>No</x:v>
      </x:c>
      <x:c r="AG67" s="46" t="str">
        <x:v>Yes—test</x:v>
      </x:c>
      <x:c r="AH67" s="46" t="str">
        <x:v>Local only</x:v>
      </x:c>
      <x:c r="AI67" s="46" t="str">
        <x:v>Own parametric ecosystem</x:v>
      </x:c>
      <x:c r="AJ67" s="46" t="str">
        <x:v>No—own design</x:v>
      </x:c>
      <x:c r="AK67" s="50" t="n">
        <x:v>8.9</x:v>
      </x:c>
      <x:c r="AL67" s="50" t="n">
        <x:f>'Unit Economics'!R67</x:f>
        <x:v>15.51228</x:v>
      </x:c>
      <x:c r="AM67" s="50" t="n">
        <x:f>'Unit Economics'!V67</x:f>
        <x:v>46.41</x:v>
      </x:c>
      <x:c r="AN67" s="54" t="n">
        <x:f>'Unit Economics'!Y67</x:f>
        <x:v>0.5522492307692308</x:v>
      </x:c>
      <x:c r="AO67" s="48" t="n">
        <x:f>ROUND(H67*Assumptions!$B$39+I67*20*Assumptions!$B$40+J67*20*Assumptions!$B$41+K67*20*Assumptions!$B$42+L67*20*Assumptions!$B$43+(6-AC67)*20*Assumptions!$B$44,1)</x:f>
        <x:v>84.7</x:v>
      </x:c>
      <x:c r="AP67" s="46" t="str">
        <x:f>IF(OR(AC67&gt;=4,AD67="Yes",AE67="Yes",AF67="Complete electrical"),"Specialist / Hold",IF(AND(AO67&gt;=92,AH67="Ready",AC67&lt;=2),"Wave 1",IF(AO67&gt;=82,"Wave 2","Wave 3")))</x:f>
        <x:v>Wave 2</x:v>
      </x:c>
      <x:c r="AQ67" s="46" t="str">
        <x:v>S08; S09; S11; S19</x:v>
      </x:c>
      <x:c r="AR67" s="46" t="str">
        <x:v>Backlog</x:v>
      </x:c>
      <x:c r="AS67" s="46" t="str">
        <x:v>Create load-class geometry rules</x:v>
      </x:c>
      <x:c r="AT67" s="46" t="str"/>
    </x:row>
    <x:row r="68" ht="42" customHeight="1">
      <x:c r="A68" s="46" t="str">
        <x:v>SKU-067</x:v>
      </x:c>
      <x:c r="B68" s="46" t="str">
        <x:v>Pegboard small-bin and label module</x:v>
      </x:c>
      <x:c r="C68" s="46" t="str">
        <x:v>Modular pegboard &amp; wall-storage ecosystems</x:v>
      </x:c>
      <x:c r="D68" s="46" t="n">
        <x:v>16</x:v>
      </x:c>
      <x:c r="E68" s="46" t="str">
        <x:v>Create removable bins for components, stationery or craft materials.</x:v>
      </x:c>
      <x:c r="F68" s="46" t="str">
        <x:v>Makers, sewers and electronics hobby users</x:v>
      </x:c>
      <x:c r="G68" s="46" t="str">
        <x:v>Organization and hardware-storage demand combines with strong maker interest in modular wall systems.</x:v>
      </x:c>
      <x:c r="H68" s="52" t="n">
        <x:v>78</x:v>
      </x:c>
      <x:c r="I68" s="52" t="n">
        <x:v>5</x:v>
      </x:c>
      <x:c r="J68" s="52" t="n">
        <x:v>5</x:v>
      </x:c>
      <x:c r="K68" s="52" t="n">
        <x:v>4</x:v>
      </x:c>
      <x:c r="L68" s="52" t="n">
        <x:v>4</x:v>
      </x:c>
      <x:c r="M68" s="52" t="n">
        <x:v>185</x:v>
      </x:c>
      <x:c r="N68" s="52" t="n">
        <x:v>125</x:v>
      </x:c>
      <x:c r="O68" s="52" t="n">
        <x:v>105</x:v>
      </x:c>
      <x:c r="P68" s="46" t="str">
        <x:v>M</x:v>
      </x:c>
      <x:c r="Q68" s="46" t="str">
        <x:v>Bin + grid latch + label insert</x:v>
      </x:c>
      <x:c r="R68" s="46" t="str">
        <x:v>PETG</x:v>
      </x:c>
      <x:c r="S68" s="46" t="str">
        <x:v>Paper or printed label</x:v>
      </x:c>
      <x:c r="T68" s="46" t="str">
        <x:v>Core 250 mm</x:v>
      </x:c>
      <x:c r="U68" s="46" t="str">
        <x:v>No</x:v>
      </x:c>
      <x:c r="V68" s="46" t="str">
        <x:v>None</x:v>
      </x:c>
      <x:c r="W68" s="52" t="n">
        <x:v>2</x:v>
      </x:c>
      <x:c r="X68" s="46" t="str">
        <x:v>Bin size/count, contents, label text, grid location</x:v>
      </x:c>
      <x:c r="Y68" s="46" t="str">
        <x:v>Bin dimensions, scoop, latch, label window</x:v>
      </x:c>
      <x:c r="Z68" s="46" t="str">
        <x:v>Latch cycles, loaded retention, edge and stack check</x:v>
      </x:c>
      <x:c r="AA68" s="46" t="str">
        <x:v>Light small-parts storage only; contents may require child warnings</x:v>
      </x:c>
      <x:c r="AB68" s="46" t="str">
        <x:v>GPSR + interface/retention validation</x:v>
      </x:c>
      <x:c r="AC68" s="52" t="n">
        <x:v>3</x:v>
      </x:c>
      <x:c r="AD68" s="46" t="str">
        <x:v>No</x:v>
      </x:c>
      <x:c r="AE68" s="46" t="str">
        <x:v>Potential</x:v>
      </x:c>
      <x:c r="AF68" s="46" t="str">
        <x:v>No</x:v>
      </x:c>
      <x:c r="AG68" s="46" t="str">
        <x:v>Light duty</x:v>
      </x:c>
      <x:c r="AH68" s="46" t="str">
        <x:v>Guided</x:v>
      </x:c>
      <x:c r="AI68" s="46" t="str">
        <x:v>Own proprietary ecosystem</x:v>
      </x:c>
      <x:c r="AJ68" s="46" t="str">
        <x:v>No—own design</x:v>
      </x:c>
      <x:c r="AK68" s="50" t="n">
        <x:v>9.9</x:v>
      </x:c>
      <x:c r="AL68" s="50" t="n">
        <x:f>'Unit Economics'!R68</x:f>
        <x:v>20.839350000000003</x:v>
      </x:c>
      <x:c r="AM68" s="50" t="n">
        <x:f>'Unit Economics'!V68</x:f>
        <x:v>62.474999999999994</x:v>
      </x:c>
      <x:c r="AN68" s="54" t="n">
        <x:f>'Unit Economics'!Y68</x:f>
        <x:v>0.5530599999999999</x:v>
      </x:c>
      <x:c r="AO68" s="48" t="n">
        <x:f>ROUND(H68*Assumptions!$B$39+I68*20*Assumptions!$B$40+J68*20*Assumptions!$B$41+K68*20*Assumptions!$B$42+L68*20*Assumptions!$B$43+(6-AC68)*20*Assumptions!$B$44,1)</x:f>
        <x:v>84.4</x:v>
      </x:c>
      <x:c r="AP68" s="46" t="str">
        <x:f>IF(OR(AC68&gt;=4,AD68="Yes",AE68="Yes",AF68="Complete electrical"),"Specialist / Hold",IF(AND(AO68&gt;=92,AH68="Ready",AC68&lt;=2),"Wave 1",IF(AO68&gt;=82,"Wave 2","Wave 3")))</x:f>
        <x:v>Wave 2</x:v>
      </x:c>
      <x:c r="AQ68" s="46" t="str">
        <x:v>S08; S09; S11; S19</x:v>
      </x:c>
      <x:c r="AR68" s="46" t="str">
        <x:v>Backlog</x:v>
      </x:c>
      <x:c r="AS68" s="46" t="str">
        <x:v>Pilot with three bin sizes and label system</x:v>
      </x:c>
      <x:c r="AT68" s="46" t="str"/>
    </x:row>
    <x:row r="69" ht="42" customHeight="1">
      <x:c r="A69" s="46" t="str">
        <x:v>SKU-068</x:v>
      </x:c>
      <x:c r="B69" s="46" t="str">
        <x:v>Print-in-place gear fidget</x:v>
      </x:c>
      <x:c r="C69" s="46" t="str">
        <x:v>Adult desk fidgets &amp; original collectibles</x:v>
      </x:c>
      <x:c r="D69" s="46" t="n">
        <x:v>20</x:v>
      </x:c>
      <x:c r="E69" s="46" t="str">
        <x:v>Provide a tactile adult desk fidget with no assembly or magnets.</x:v>
      </x:c>
      <x:c r="F69" s="46" t="str">
        <x:v>Adult desk workers and gifting</x:v>
      </x:c>
      <x:c r="G69" s="46" t="str">
        <x:v>Whimsy, charms and collectibility remain visible 2026 demand signals and active 3D-model categories.</x:v>
      </x:c>
      <x:c r="H69" s="52" t="n">
        <x:v>71</x:v>
      </x:c>
      <x:c r="I69" s="52" t="n">
        <x:v>5</x:v>
      </x:c>
      <x:c r="J69" s="52" t="n">
        <x:v>4</x:v>
      </x:c>
      <x:c r="K69" s="52" t="n">
        <x:v>5</x:v>
      </x:c>
      <x:c r="L69" s="52" t="n">
        <x:v>5</x:v>
      </x:c>
      <x:c r="M69" s="52" t="n">
        <x:v>85</x:v>
      </x:c>
      <x:c r="N69" s="52" t="n">
        <x:v>85</x:v>
      </x:c>
      <x:c r="O69" s="52" t="n">
        <x:v>22</x:v>
      </x:c>
      <x:c r="P69" s="46" t="str">
        <x:v>S</x:v>
      </x:c>
      <x:c r="Q69" s="46" t="str">
        <x:v>Print-in-place mechanism</x:v>
      </x:c>
      <x:c r="R69" s="46" t="str">
        <x:v>PLA</x:v>
      </x:c>
      <x:c r="S69" s="46" t="str">
        <x:v>None</x:v>
      </x:c>
      <x:c r="T69" s="46" t="str">
        <x:v>Core 250 mm</x:v>
      </x:c>
      <x:c r="U69" s="46" t="str">
        <x:v>No</x:v>
      </x:c>
      <x:c r="V69" s="46" t="str">
        <x:v>None</x:v>
      </x:c>
      <x:c r="W69" s="52" t="n">
        <x:v>2</x:v>
      </x:c>
      <x:c r="X69" s="46" t="str">
        <x:v>Size, texture, color and personalization</x:v>
      </x:c>
      <x:c r="Y69" s="46" t="str">
        <x:v>Gear count, clearances, grip texture, text</x:v>
      </x:c>
      <x:c r="Z69" s="46" t="str">
        <x:v>Pinch-point, break, small-parts and cycle test</x:v>
      </x:c>
      <x:c r="AA69" s="46" t="str">
        <x:v>Adult desk accessory; not for children; discontinue if damaged</x:v>
      </x:c>
      <x:c r="AB69" s="46" t="str">
        <x:v>GPSR + adult collectible/small-parts review</x:v>
      </x:c>
      <x:c r="AC69" s="52" t="n">
        <x:v>3</x:v>
      </x:c>
      <x:c r="AD69" s="46" t="str">
        <x:v>No</x:v>
      </x:c>
      <x:c r="AE69" s="46" t="str">
        <x:v>Potential</x:v>
      </x:c>
      <x:c r="AF69" s="46" t="str">
        <x:v>No</x:v>
      </x:c>
      <x:c r="AG69" s="46" t="str">
        <x:v>No</x:v>
      </x:c>
      <x:c r="AH69" s="46" t="str">
        <x:v>Ready</x:v>
      </x:c>
      <x:c r="AI69" s="46" t="str">
        <x:v>Own mechanical CAD</x:v>
      </x:c>
      <x:c r="AJ69" s="46" t="str">
        <x:v>No—own design</x:v>
      </x:c>
      <x:c r="AK69" s="50" t="n">
        <x:v>5.9</x:v>
      </x:c>
      <x:c r="AL69" s="50" t="n">
        <x:f>'Unit Economics'!R69</x:f>
        <x:v>7.82089</x:v>
      </x:c>
      <x:c r="AM69" s="50" t="n">
        <x:f>'Unit Economics'!V69</x:f>
        <x:v>23.799999999999997</x:v>
      </x:c>
      <x:c r="AN69" s="54" t="n">
        <x:f>'Unit Economics'!Y69</x:f>
        <x:v>0.5589554999999999</x:v>
      </x:c>
      <x:c r="AO69" s="48" t="n">
        <x:f>ROUND(H69*Assumptions!$B$39+I69*20*Assumptions!$B$40+J69*20*Assumptions!$B$41+K69*20*Assumptions!$B$42+L69*20*Assumptions!$B$43+(6-AC69)*20*Assumptions!$B$44,1)</x:f>
        <x:v>84.3</x:v>
      </x:c>
      <x:c r="AP69" s="46" t="str">
        <x:f>IF(OR(AC69&gt;=4,AD69="Yes",AE69="Yes",AF69="Complete electrical"),"Specialist / Hold",IF(AND(AO69&gt;=92,AH69="Ready",AC69&lt;=2),"Wave 1",IF(AO69&gt;=82,"Wave 2","Wave 3")))</x:f>
        <x:v>Wave 2</x:v>
      </x:c>
      <x:c r="AQ69" s="46" t="str">
        <x:v>S01; S04; S11; S16; S18</x:v>
      </x:c>
      <x:c r="AR69" s="46" t="str">
        <x:v>Backlog</x:v>
      </x:c>
      <x:c r="AS69" s="46" t="str">
        <x:v>Run clearance robustness and breakage tests</x:v>
      </x:c>
      <x:c r="AT69" s="46" t="str"/>
    </x:row>
    <x:row r="70" ht="42" customHeight="1">
      <x:c r="A70" s="46" t="str">
        <x:v>SKU-069</x:v>
      </x:c>
      <x:c r="B70" s="46" t="str">
        <x:v>Decorative geometric wall-tile system</x:v>
      </x:c>
      <x:c r="C70" s="46" t="str">
        <x:v>3D wall art, reliefs &amp; gallery panels</x:v>
      </x:c>
      <x:c r="D70" s="46" t="n">
        <x:v>10</x:v>
      </x:c>
      <x:c r="E70" s="46" t="str">
        <x:v>Cover a selected wall area with custom geometric or textured modules.</x:v>
      </x:c>
      <x:c r="F70" s="46" t="str">
        <x:v>Interior design and feature-wall customers</x:v>
      </x:c>
      <x:c r="G70" s="46" t="str">
        <x:v>Etsy reports wall-art decor searches up 110%; wall art also appears in 2026 ecommerce trend lists.</x:v>
      </x:c>
      <x:c r="H70" s="52" t="n">
        <x:v>84</x:v>
      </x:c>
      <x:c r="I70" s="52" t="n">
        <x:v>5</x:v>
      </x:c>
      <x:c r="J70" s="52" t="n">
        <x:v>5</x:v>
      </x:c>
      <x:c r="K70" s="52" t="n">
        <x:v>4</x:v>
      </x:c>
      <x:c r="L70" s="52" t="n">
        <x:v>3</x:v>
      </x:c>
      <x:c r="M70" s="52" t="n">
        <x:v>235</x:v>
      </x:c>
      <x:c r="N70" s="52" t="n">
        <x:v>235</x:v>
      </x:c>
      <x:c r="O70" s="52" t="n">
        <x:v>35</x:v>
      </x:c>
      <x:c r="P70" s="46" t="str">
        <x:v>M</x:v>
      </x:c>
      <x:c r="Q70" s="46" t="str">
        <x:v>Repeatable tile modules</x:v>
      </x:c>
      <x:c r="R70" s="46" t="str">
        <x:v>PLA</x:v>
      </x:c>
      <x:c r="S70" s="46" t="str">
        <x:v>Approved mounting system</x:v>
      </x:c>
      <x:c r="T70" s="46" t="str">
        <x:v>Core 250 mm</x:v>
      </x:c>
      <x:c r="U70" s="46" t="str">
        <x:v>No</x:v>
      </x:c>
      <x:c r="V70" s="46" t="str">
        <x:v>None</x:v>
      </x:c>
      <x:c r="W70" s="52" t="n">
        <x:v>3</x:v>
      </x:c>
      <x:c r="X70" s="46" t="str">
        <x:v>Wall dimensions, pattern, tile count, mounting surface</x:v>
      </x:c>
      <x:c r="Y70" s="46" t="str">
        <x:v>Tile edge, relief, repetition, cut tiles, mount points</x:v>
      </x:c>
      <x:c r="Z70" s="46" t="str">
        <x:v>Alignment jig, mounting test, fire/heat-location review</x:v>
      </x:c>
      <x:c r="AA70" s="46" t="str">
        <x:v>Decorative only; no acoustic, fire or building-product performance claim</x:v>
      </x:c>
      <x:c r="AB70" s="46" t="str">
        <x:v>GPSR + wall-mount and claims control</x:v>
      </x:c>
      <x:c r="AC70" s="52" t="n">
        <x:v>3</x:v>
      </x:c>
      <x:c r="AD70" s="46" t="str">
        <x:v>No</x:v>
      </x:c>
      <x:c r="AE70" s="46" t="str">
        <x:v>No</x:v>
      </x:c>
      <x:c r="AF70" s="46" t="str">
        <x:v>No</x:v>
      </x:c>
      <x:c r="AG70" s="46" t="str">
        <x:v>Light duty</x:v>
      </x:c>
      <x:c r="AH70" s="46" t="str">
        <x:v>Local only</x:v>
      </x:c>
      <x:c r="AI70" s="46" t="str">
        <x:v>Own generative pattern library</x:v>
      </x:c>
      <x:c r="AJ70" s="46" t="str">
        <x:v>No—own design</x:v>
      </x:c>
      <x:c r="AK70" s="50" t="n">
        <x:v>16.9</x:v>
      </x:c>
      <x:c r="AL70" s="50" t="n">
        <x:f>'Unit Economics'!R70</x:f>
        <x:v>46.83798</x:v>
      </x:c>
      <x:c r="AM70" s="50" t="n">
        <x:f>'Unit Economics'!V70</x:f>
        <x:v>139.825</x:v>
      </x:c>
      <x:c r="AN70" s="54" t="n">
        <x:f>'Unit Economics'!Y70</x:f>
        <x:v>0.5513788936170213</x:v>
      </x:c>
      <x:c r="AO70" s="48" t="n">
        <x:f>ROUND(H70*Assumptions!$B$39+I70*20*Assumptions!$B$40+J70*20*Assumptions!$B$41+K70*20*Assumptions!$B$42+L70*20*Assumptions!$B$43+(6-AC70)*20*Assumptions!$B$44,1)</x:f>
        <x:v>84.2</x:v>
      </x:c>
      <x:c r="AP70" s="46" t="str">
        <x:f>IF(OR(AC70&gt;=4,AD70="Yes",AE70="Yes",AF70="Complete electrical"),"Specialist / Hold",IF(AND(AO70&gt;=92,AH70="Ready",AC70&lt;=2),"Wave 1",IF(AO70&gt;=82,"Wave 2","Wave 3")))</x:f>
        <x:v>Wave 2</x:v>
      </x:c>
      <x:c r="AQ70" s="46" t="str">
        <x:v>S01; S02; S03; S04; S11; S16</x:v>
      </x:c>
      <x:c r="AR70" s="46" t="str">
        <x:v>Backlog</x:v>
      </x:c>
      <x:c r="AS70" s="46" t="str">
        <x:v>Define allowed installation zones and mounting kit</x:v>
      </x:c>
      <x:c r="AT70" s="46" t="str"/>
    </x:row>
    <x:row r="71" ht="42" customHeight="1">
      <x:c r="A71" s="46" t="str">
        <x:v>SKU-070</x:v>
      </x:c>
      <x:c r="B71" s="46" t="str">
        <x:v>Sit-stand desk cable chain</x:v>
      </x:c>
      <x:c r="C71" s="46" t="str">
        <x:v>Cable-management systems</x:v>
      </x:c>
      <x:c r="D71" s="46" t="n">
        <x:v>2</x:v>
      </x:c>
      <x:c r="E71" s="46" t="str">
        <x:v>Guide cables through repeated height changes without snagging.</x:v>
      </x:c>
      <x:c r="F71" s="46" t="str">
        <x:v>Sit-stand desk owners</x:v>
      </x:c>
      <x:c r="G71" s="46" t="str">
        <x:v>Aesthetic productivity and desk-setup demand, reinforced by active 3D-print cable-management ecosystems.</x:v>
      </x:c>
      <x:c r="H71" s="52" t="n">
        <x:v>92</x:v>
      </x:c>
      <x:c r="I71" s="52" t="n">
        <x:v>5</x:v>
      </x:c>
      <x:c r="J71" s="52" t="n">
        <x:v>5</x:v>
      </x:c>
      <x:c r="K71" s="52" t="n">
        <x:v>3</x:v>
      </x:c>
      <x:c r="L71" s="52" t="n">
        <x:v>3</x:v>
      </x:c>
      <x:c r="M71" s="52" t="n">
        <x:v>220</x:v>
      </x:c>
      <x:c r="N71" s="52" t="n">
        <x:v>50</x:v>
      </x:c>
      <x:c r="O71" s="52" t="n">
        <x:v>30</x:v>
      </x:c>
      <x:c r="P71" s="46" t="str">
        <x:v>M</x:v>
      </x:c>
      <x:c r="Q71" s="46" t="str">
        <x:v>Print-in-place or snap-link chain</x:v>
      </x:c>
      <x:c r="R71" s="46" t="str">
        <x:v>PETG</x:v>
      </x:c>
      <x:c r="S71" s="46" t="str">
        <x:v>Optional screw anchors</x:v>
      </x:c>
      <x:c r="T71" s="46" t="str">
        <x:v>Core 250 mm</x:v>
      </x:c>
      <x:c r="U71" s="46" t="str">
        <x:v>No</x:v>
      </x:c>
      <x:c r="V71" s="46" t="str">
        <x:v>Optional</x:v>
      </x:c>
      <x:c r="W71" s="52" t="n">
        <x:v>3</x:v>
      </x:c>
      <x:c r="X71" s="46" t="str">
        <x:v>Travel length, cable count/diameter, anchor locations</x:v>
      </x:c>
      <x:c r="Y71" s="46" t="str">
        <x:v>Link count, bend radius, anchor geometry</x:v>
      </x:c>
      <x:c r="Z71" s="46" t="str">
        <x:v>10,000 flex-cycle pilot, pinch/abrasion test, anchor pull test</x:v>
      </x:c>
      <x:c r="AA71" s="46" t="str">
        <x:v>Passive routing only; maintain cable manufacturer bend limits</x:v>
      </x:c>
      <x:c r="AB71" s="46" t="str">
        <x:v>GPSR + repeated-motion and mounting validation</x:v>
      </x:c>
      <x:c r="AC71" s="52" t="n">
        <x:v>3</x:v>
      </x:c>
      <x:c r="AD71" s="46" t="str">
        <x:v>No</x:v>
      </x:c>
      <x:c r="AE71" s="46" t="str">
        <x:v>No</x:v>
      </x:c>
      <x:c r="AF71" s="46" t="str">
        <x:v>Accessory only</x:v>
      </x:c>
      <x:c r="AG71" s="46" t="str">
        <x:v>Light duty</x:v>
      </x:c>
      <x:c r="AH71" s="46" t="str">
        <x:v>Local only</x:v>
      </x:c>
      <x:c r="AI71" s="46" t="str">
        <x:v>Own parametric CAD</x:v>
      </x:c>
      <x:c r="AJ71" s="46" t="str">
        <x:v>No—own design</x:v>
      </x:c>
      <x:c r="AK71" s="50" t="n">
        <x:v>13.9</x:v>
      </x:c>
      <x:c r="AL71" s="50" t="n">
        <x:f>'Unit Economics'!R71</x:f>
        <x:v>20.11023</x:v>
      </x:c>
      <x:c r="AM71" s="50" t="n">
        <x:f>'Unit Economics'!V71</x:f>
        <x:v>60.095</x:v>
      </x:c>
      <x:c r="AN71" s="54" t="n">
        <x:f>'Unit Economics'!Y71</x:f>
        <x:v>0.5517776237623763</x:v>
      </x:c>
      <x:c r="AO71" s="48" t="n">
        <x:f>ROUND(H71*Assumptions!$B$39+I71*20*Assumptions!$B$40+J71*20*Assumptions!$B$41+K71*20*Assumptions!$B$42+L71*20*Assumptions!$B$43+(6-AC71)*20*Assumptions!$B$44,1)</x:f>
        <x:v>83.6</x:v>
      </x:c>
      <x:c r="AP71" s="46" t="str">
        <x:f>IF(OR(AC71&gt;=4,AD71="Yes",AE71="Yes",AF71="Complete electrical"),"Specialist / Hold",IF(AND(AO71&gt;=92,AH71="Ready",AC71&lt;=2),"Wave 1",IF(AO71&gt;=82,"Wave 2","Wave 3")))</x:f>
        <x:v>Wave 2</x:v>
      </x:c>
      <x:c r="AQ71" s="46" t="str">
        <x:v>S05; S09; S11; S19</x:v>
      </x:c>
      <x:c r="AR71" s="46" t="str">
        <x:v>Backlog</x:v>
      </x:c>
      <x:c r="AS71" s="46" t="str">
        <x:v>Build endurance rig and define maximum cable bundle</x:v>
      </x:c>
      <x:c r="AT71" s="46" t="str"/>
    </x:row>
    <x:row r="72" ht="42" customHeight="1">
      <x:c r="A72" s="46" t="str">
        <x:v>SKU-071</x:v>
      </x:c>
      <x:c r="B72" s="46" t="str">
        <x:v>Wall-mounted tablet/phone holder</x:v>
      </x:c>
      <x:c r="C72" s="46" t="str">
        <x:v>Phone/tablet stands &amp; passive docks</x:v>
      </x:c>
      <x:c r="D72" s="46" t="n">
        <x:v>3</x:v>
      </x:c>
      <x:c r="E72" s="46" t="str">
        <x:v>Mount a device at a fixed location for dashboards, recipes or controls.</x:v>
      </x:c>
      <x:c r="F72" s="46" t="str">
        <x:v>Smart-home and workshop users</x:v>
      </x:c>
      <x:c r="G72" s="46" t="str">
        <x:v>Persistent tech-accessory demand; passive stands are easy to personalize without adding electronics compliance.</x:v>
      </x:c>
      <x:c r="H72" s="52" t="n">
        <x:v>90</x:v>
      </x:c>
      <x:c r="I72" s="52" t="n">
        <x:v>5</x:v>
      </x:c>
      <x:c r="J72" s="52" t="n">
        <x:v>5</x:v>
      </x:c>
      <x:c r="K72" s="52" t="n">
        <x:v>3</x:v>
      </x:c>
      <x:c r="L72" s="52" t="n">
        <x:v>3</x:v>
      </x:c>
      <x:c r="M72" s="52" t="n">
        <x:v>140</x:v>
      </x:c>
      <x:c r="N72" s="52" t="n">
        <x:v>65</x:v>
      </x:c>
      <x:c r="O72" s="52" t="n">
        <x:v>115</x:v>
      </x:c>
      <x:c r="P72" s="46" t="str">
        <x:v>M</x:v>
      </x:c>
      <x:c r="Q72" s="46" t="str">
        <x:v>Cradle + wall bracket</x:v>
      </x:c>
      <x:c r="R72" s="46" t="str">
        <x:v>PETG</x:v>
      </x:c>
      <x:c r="S72" s="46" t="str">
        <x:v>Certified fasteners</x:v>
      </x:c>
      <x:c r="T72" s="46" t="str">
        <x:v>Core 250 mm</x:v>
      </x:c>
      <x:c r="U72" s="46" t="str">
        <x:v>No</x:v>
      </x:c>
      <x:c r="V72" s="46" t="str">
        <x:v>None</x:v>
      </x:c>
      <x:c r="W72" s="52" t="n">
        <x:v>3</x:v>
      </x:c>
      <x:c r="X72" s="46" t="str">
        <x:v>Device dimensions, wall type, orientation, cable route</x:v>
      </x:c>
      <x:c r="Y72" s="46" t="str">
        <x:v>Cradle depth, retention tabs, mounting holes, angle</x:v>
      </x:c>
      <x:c r="Z72" s="46" t="str">
        <x:v>Fastener pull test, retention test, heat and cable clearance</x:v>
      </x:c>
      <x:c r="AA72" s="46" t="str">
        <x:v>Do not install above hazards; no safety-critical control application</x:v>
      </x:c>
      <x:c r="AB72" s="46" t="str">
        <x:v>GPSR + mounting validation</x:v>
      </x:c>
      <x:c r="AC72" s="52" t="n">
        <x:v>3</x:v>
      </x:c>
      <x:c r="AD72" s="46" t="str">
        <x:v>No</x:v>
      </x:c>
      <x:c r="AE72" s="46" t="str">
        <x:v>No</x:v>
      </x:c>
      <x:c r="AF72" s="46" t="str">
        <x:v>Accessory only</x:v>
      </x:c>
      <x:c r="AG72" s="46" t="str">
        <x:v>Yes—test</x:v>
      </x:c>
      <x:c r="AH72" s="46" t="str">
        <x:v>Local only</x:v>
      </x:c>
      <x:c r="AI72" s="46" t="str">
        <x:v>Own parametric CAD; compatibility review</x:v>
      </x:c>
      <x:c r="AJ72" s="46" t="str">
        <x:v>No—own design</x:v>
      </x:c>
      <x:c r="AK72" s="50" t="n">
        <x:v>12.9</x:v>
      </x:c>
      <x:c r="AL72" s="50" t="n">
        <x:f>'Unit Economics'!R72</x:f>
        <x:v>16.22635</x:v>
      </x:c>
      <x:c r="AM72" s="50" t="n">
        <x:f>'Unit Economics'!V72</x:f>
        <x:v>48.79</x:v>
      </x:c>
      <x:c r="AN72" s="54" t="n">
        <x:f>'Unit Economics'!Y72</x:f>
        <x:v>0.5542353658536585</x:v>
      </x:c>
      <x:c r="AO72" s="48" t="n">
        <x:f>ROUND(H72*Assumptions!$B$39+I72*20*Assumptions!$B$40+J72*20*Assumptions!$B$41+K72*20*Assumptions!$B$42+L72*20*Assumptions!$B$43+(6-AC72)*20*Assumptions!$B$44,1)</x:f>
        <x:v>83</x:v>
      </x:c>
      <x:c r="AP72" s="46" t="str">
        <x:f>IF(OR(AC72&gt;=4,AD72="Yes",AE72="Yes",AF72="Complete electrical"),"Specialist / Hold",IF(AND(AO72&gt;=92,AH72="Ready",AC72&lt;=2),"Wave 1",IF(AO72&gt;=82,"Wave 2","Wave 3")))</x:f>
        <x:v>Wave 2</x:v>
      </x:c>
      <x:c r="AQ72" s="46" t="str">
        <x:v>S03; S05; S09; S11; S19</x:v>
      </x:c>
      <x:c r="AR72" s="46" t="str">
        <x:v>Backlog</x:v>
      </x:c>
      <x:c r="AS72" s="46" t="str">
        <x:v>Define approved wall/fastener combinations</x:v>
      </x:c>
      <x:c r="AT72" s="46" t="str"/>
    </x:row>
    <x:row r="73" ht="42" customHeight="1">
      <x:c r="A73" s="46" t="str">
        <x:v>SKU-072</x:v>
      </x:c>
      <x:c r="B73" s="46" t="str">
        <x:v>Weighted geometric bookend pair</x:v>
      </x:c>
      <x:c r="C73" s="46" t="str">
        <x:v>Bookends, vinyl &amp; display stands</x:v>
      </x:c>
      <x:c r="D73" s="46" t="n">
        <x:v>15</x:v>
      </x:c>
      <x:c r="E73" s="46" t="str">
        <x:v>Hold a specific book collection using printed shells with safe ballast.</x:v>
      </x:c>
      <x:c r="F73" s="46" t="str">
        <x:v>Readers, offices and decor buyers</x:v>
      </x:c>
      <x:c r="G73" s="46" t="str">
        <x:v>The 2026 analog revival and intentional nostalgia support display accessories for books and records.</x:v>
      </x:c>
      <x:c r="H73" s="52" t="n">
        <x:v>79</x:v>
      </x:c>
      <x:c r="I73" s="52" t="n">
        <x:v>5</x:v>
      </x:c>
      <x:c r="J73" s="52" t="n">
        <x:v>5</x:v>
      </x:c>
      <x:c r="K73" s="52" t="n">
        <x:v>4</x:v>
      </x:c>
      <x:c r="L73" s="52" t="n">
        <x:v>3</x:v>
      </x:c>
      <x:c r="M73" s="52" t="n">
        <x:v>230</x:v>
      </x:c>
      <x:c r="N73" s="52" t="n">
        <x:v>155</x:v>
      </x:c>
      <x:c r="O73" s="52" t="n">
        <x:v>205</x:v>
      </x:c>
      <x:c r="P73" s="46" t="str">
        <x:v>M</x:v>
      </x:c>
      <x:c r="Q73" s="46" t="str">
        <x:v>Pair of shells with sealed ballast cavity</x:v>
      </x:c>
      <x:c r="R73" s="46" t="str">
        <x:v>PETG</x:v>
      </x:c>
      <x:c r="S73" s="46" t="str">
        <x:v>Steel plate or sealed sand bag; felt feet</x:v>
      </x:c>
      <x:c r="T73" s="46" t="str">
        <x:v>Core 250 mm</x:v>
      </x:c>
      <x:c r="U73" s="46" t="str">
        <x:v>No</x:v>
      </x:c>
      <x:c r="V73" s="46" t="str">
        <x:v>Optional</x:v>
      </x:c>
      <x:c r="W73" s="52" t="n">
        <x:v>3</x:v>
      </x:c>
      <x:c r="X73" s="46" t="str">
        <x:v>Book height/weight, shelf depth, style, ballast preference</x:v>
      </x:c>
      <x:c r="Y73" s="46" t="str">
        <x:v>Base footprint, shell profile, ballast pocket, feet</x:v>
      </x:c>
      <x:c r="Z73" s="46" t="str">
        <x:v>Sliding/tip test, ballast retention, shelf-scratch check</x:v>
      </x:c>
      <x:c r="AA73" s="46" t="str">
        <x:v>Ballast must be sealed; not for children's rooms without review</x:v>
      </x:c>
      <x:c r="AB73" s="46" t="str">
        <x:v>GPSR + stability/component-retention validation</x:v>
      </x:c>
      <x:c r="AC73" s="52" t="n">
        <x:v>3</x:v>
      </x:c>
      <x:c r="AD73" s="46" t="str">
        <x:v>No</x:v>
      </x:c>
      <x:c r="AE73" s="46" t="str">
        <x:v>Potential</x:v>
      </x:c>
      <x:c r="AF73" s="46" t="str">
        <x:v>No</x:v>
      </x:c>
      <x:c r="AG73" s="46" t="str">
        <x:v>Light duty</x:v>
      </x:c>
      <x:c r="AH73" s="46" t="str">
        <x:v>Local only</x:v>
      </x:c>
      <x:c r="AI73" s="46" t="str">
        <x:v>Own original design; controlled ballast BOM</x:v>
      </x:c>
      <x:c r="AJ73" s="46" t="str">
        <x:v>No—own design</x:v>
      </x:c>
      <x:c r="AK73" s="50" t="n">
        <x:v>14.9</x:v>
      </x:c>
      <x:c r="AL73" s="50" t="n">
        <x:f>'Unit Economics'!R73</x:f>
        <x:v>47.590340000000005</x:v>
      </x:c>
      <x:c r="AM73" s="50" t="n">
        <x:f>'Unit Economics'!V73</x:f>
        <x:v>141.60999999999999</x:v>
      </x:c>
      <x:c r="AN73" s="54" t="n">
        <x:f>'Unit Economics'!Y73</x:f>
        <x:v>0.5500811764705882</x:v>
      </x:c>
      <x:c r="AO73" s="48" t="n">
        <x:f>ROUND(H73*Assumptions!$B$39+I73*20*Assumptions!$B$40+J73*20*Assumptions!$B$41+K73*20*Assumptions!$B$42+L73*20*Assumptions!$B$43+(6-AC73)*20*Assumptions!$B$44,1)</x:f>
        <x:v>82.7</x:v>
      </x:c>
      <x:c r="AP73" s="46" t="str">
        <x:f>IF(OR(AC73&gt;=4,AD73="Yes",AE73="Yes",AF73="Complete electrical"),"Specialist / Hold",IF(AND(AO73&gt;=92,AH73="Ready",AC73&lt;=2),"Wave 1",IF(AO73&gt;=82,"Wave 2","Wave 3")))</x:f>
        <x:v>Wave 2</x:v>
      </x:c>
      <x:c r="AQ73" s="46" t="str">
        <x:v>S01; S04; S11; S19</x:v>
      </x:c>
      <x:c r="AR73" s="46" t="str">
        <x:v>Backlog</x:v>
      </x:c>
      <x:c r="AS73" s="46" t="str">
        <x:v>Define sealed ballast cartridge and stability classes</x:v>
      </x:c>
      <x:c r="AT73" s="46" t="str"/>
    </x:row>
    <x:row r="74" ht="42" customHeight="1">
      <x:c r="A74" s="46" t="str">
        <x:v>SKU-073</x:v>
      </x:c>
      <x:c r="B74" s="46" t="str">
        <x:v>Stackable herb-planter module</x:v>
      </x:c>
      <x:c r="C74" s="46" t="str">
        <x:v>Planters &amp; self-watering planters</x:v>
      </x:c>
      <x:c r="D74" s="46" t="n">
        <x:v>7</x:v>
      </x:c>
      <x:c r="E74" s="46" t="str">
        <x:v>Build a vertical stack of plant modules for limited balcony or kitchen space.</x:v>
      </x:c>
      <x:c r="F74" s="46" t="str">
        <x:v>Urban gardeners and balcony users</x:v>
      </x:c>
      <x:c r="G74" s="46" t="str">
        <x:v>Nature-aligned interiors, tactile surfaces and sculptural decor support customizable planter demand.</x:v>
      </x:c>
      <x:c r="H74" s="52" t="n">
        <x:v>88</x:v>
      </x:c>
      <x:c r="I74" s="52" t="n">
        <x:v>5</x:v>
      </x:c>
      <x:c r="J74" s="52" t="n">
        <x:v>5</x:v>
      </x:c>
      <x:c r="K74" s="52" t="n">
        <x:v>3</x:v>
      </x:c>
      <x:c r="L74" s="52" t="n">
        <x:v>3</x:v>
      </x:c>
      <x:c r="M74" s="52" t="n">
        <x:v>225</x:v>
      </x:c>
      <x:c r="N74" s="52" t="n">
        <x:v>225</x:v>
      </x:c>
      <x:c r="O74" s="52" t="n">
        <x:v>185</x:v>
      </x:c>
      <x:c r="P74" s="46" t="str">
        <x:v>M</x:v>
      </x:c>
      <x:c r="Q74" s="46" t="str">
        <x:v>Stackable modules + base reservoir</x:v>
      </x:c>
      <x:c r="R74" s="46" t="str">
        <x:v>PETG</x:v>
      </x:c>
      <x:c r="S74" s="46" t="str">
        <x:v>Optional wick and drainage plugs</x:v>
      </x:c>
      <x:c r="T74" s="46" t="str">
        <x:v>Core 250 mm</x:v>
      </x:c>
      <x:c r="U74" s="46" t="str">
        <x:v>No</x:v>
      </x:c>
      <x:c r="V74" s="46" t="str">
        <x:v>Optional</x:v>
      </x:c>
      <x:c r="W74" s="52" t="n">
        <x:v>3</x:v>
      </x:c>
      <x:c r="X74" s="46" t="str">
        <x:v>Available height, plant count/type, indoor/outdoor use</x:v>
      </x:c>
      <x:c r="Y74" s="46" t="str">
        <x:v>Stack count, pocket size, drainage path, base</x:v>
      </x:c>
      <x:c r="Z74" s="46" t="str">
        <x:v>Tip stability, stacked load, leak/drain test, UV variant review</x:v>
      </x:c>
      <x:c r="AA74" s="46" t="str">
        <x:v>Ornamental use by default; do not make food-contact or agricultural-safety claims</x:v>
      </x:c>
      <x:c r="AB74" s="46" t="str">
        <x:v>GPSR + stack/moisture validation</x:v>
      </x:c>
      <x:c r="AC74" s="52" t="n">
        <x:v>3</x:v>
      </x:c>
      <x:c r="AD74" s="46" t="str">
        <x:v>No</x:v>
      </x:c>
      <x:c r="AE74" s="46" t="str">
        <x:v>Potential</x:v>
      </x:c>
      <x:c r="AF74" s="46" t="str">
        <x:v>No</x:v>
      </x:c>
      <x:c r="AG74" s="46" t="str">
        <x:v>Yes—test</x:v>
      </x:c>
      <x:c r="AH74" s="46" t="str">
        <x:v>Local only</x:v>
      </x:c>
      <x:c r="AI74" s="46" t="str">
        <x:v>Own parametric CAD</x:v>
      </x:c>
      <x:c r="AJ74" s="46" t="str">
        <x:v>No—own design</x:v>
      </x:c>
      <x:c r="AK74" s="50" t="n">
        <x:v>14.9</x:v>
      </x:c>
      <x:c r="AL74" s="50" t="n">
        <x:f>'Unit Economics'!R74</x:f>
        <x:v>43.462579999999996</x:v>
      </x:c>
      <x:c r="AM74" s="50" t="n">
        <x:f>'Unit Economics'!V74</x:f>
        <x:v>129.71</x:v>
      </x:c>
      <x:c r="AN74" s="54" t="n">
        <x:f>'Unit Economics'!Y74</x:f>
        <x:v>0.5512607339449541</x:v>
      </x:c>
      <x:c r="AO74" s="48" t="n">
        <x:f>ROUND(H74*Assumptions!$B$39+I74*20*Assumptions!$B$40+J74*20*Assumptions!$B$41+K74*20*Assumptions!$B$42+L74*20*Assumptions!$B$43+(6-AC74)*20*Assumptions!$B$44,1)</x:f>
        <x:v>82.4</x:v>
      </x:c>
      <x:c r="AP74" s="46" t="str">
        <x:f>IF(OR(AC74&gt;=4,AD74="Yes",AE74="Yes",AF74="Complete electrical"),"Specialist / Hold",IF(AND(AO74&gt;=92,AH74="Ready",AC74&lt;=2),"Wave 1",IF(AO74&gt;=82,"Wave 2","Wave 3")))</x:f>
        <x:v>Wave 2</x:v>
      </x:c>
      <x:c r="AQ74" s="46" t="str">
        <x:v>S02; S03; S11; S19; S20</x:v>
      </x:c>
      <x:c r="AR74" s="46" t="str">
        <x:v>Backlog</x:v>
      </x:c>
      <x:c r="AS74" s="46" t="str">
        <x:v>Prototype two- and three-level stack</x:v>
      </x:c>
      <x:c r="AT74" s="46" t="str"/>
    </x:row>
    <x:row r="75" ht="42" customHeight="1">
      <x:c r="A75" s="46" t="str">
        <x:v>SKU-074</x:v>
      </x:c>
      <x:c r="B75" s="46" t="str">
        <x:v>Clip-on LED task-light diffuser</x:v>
      </x:c>
      <x:c r="C75" s="46" t="str">
        <x:v>Passive lampshades &amp; light diffusers</x:v>
      </x:c>
      <x:c r="D75" s="46" t="n">
        <x:v>12</x:v>
      </x:c>
      <x:c r="E75" s="46" t="str">
        <x:v>Soften glare from a defined LED light without modifying its electronics.</x:v>
      </x:c>
      <x:c r="F75" s="46" t="str">
        <x:v>Home office and hobby lighting users</x:v>
      </x:c>
      <x:c r="G75" s="46" t="str">
        <x:v>Nature-aligned lighting and sculptural/sensory decor create demand for distinctive passive light components.</x:v>
      </x:c>
      <x:c r="H75" s="52" t="n">
        <x:v>81</x:v>
      </x:c>
      <x:c r="I75" s="52" t="n">
        <x:v>5</x:v>
      </x:c>
      <x:c r="J75" s="52" t="n">
        <x:v>5</x:v>
      </x:c>
      <x:c r="K75" s="52" t="n">
        <x:v>3</x:v>
      </x:c>
      <x:c r="L75" s="52" t="n">
        <x:v>4</x:v>
      </x:c>
      <x:c r="M75" s="52" t="n">
        <x:v>185</x:v>
      </x:c>
      <x:c r="N75" s="52" t="n">
        <x:v>105</x:v>
      </x:c>
      <x:c r="O75" s="52" t="n">
        <x:v>85</x:v>
      </x:c>
      <x:c r="P75" s="46" t="str">
        <x:v>M</x:v>
      </x:c>
      <x:c r="Q75" s="46" t="str">
        <x:v>Diffuser + device-specific clip</x:v>
      </x:c>
      <x:c r="R75" s="46" t="str">
        <x:v>PETG</x:v>
      </x:c>
      <x:c r="S75" s="46" t="str">
        <x:v>Optional translucent insert</x:v>
      </x:c>
      <x:c r="T75" s="46" t="str">
        <x:v>Core 250 mm</x:v>
      </x:c>
      <x:c r="U75" s="46" t="str">
        <x:v>No</x:v>
      </x:c>
      <x:c r="V75" s="46" t="str">
        <x:v>None</x:v>
      </x:c>
      <x:c r="W75" s="52" t="n">
        <x:v>3</x:v>
      </x:c>
      <x:c r="X75" s="46" t="str">
        <x:v>Lamp model/measurements, LED position, desired diffusion</x:v>
      </x:c>
      <x:c r="Y75" s="46" t="str">
        <x:v>Clip gap, vent openings, diffuser angle and texture</x:v>
      </x:c>
      <x:c r="Z75" s="46" t="str">
        <x:v>Fit cycles, temperature test, light-output/vent check</x:v>
      </x:c>
      <x:c r="AA75" s="46" t="str">
        <x:v>Only for specified low-heat LED fixture; do not cover vents or sensors</x:v>
      </x:c>
      <x:c r="AB75" s="46" t="str">
        <x:v>GPSR + passive-lighting fit/thermal validation</x:v>
      </x:c>
      <x:c r="AC75" s="52" t="n">
        <x:v>3</x:v>
      </x:c>
      <x:c r="AD75" s="46" t="str">
        <x:v>No</x:v>
      </x:c>
      <x:c r="AE75" s="46" t="str">
        <x:v>No</x:v>
      </x:c>
      <x:c r="AF75" s="46" t="str">
        <x:v>Passive component</x:v>
      </x:c>
      <x:c r="AG75" s="46" t="str">
        <x:v>No</x:v>
      </x:c>
      <x:c r="AH75" s="46" t="str">
        <x:v>Guided</x:v>
      </x:c>
      <x:c r="AI75" s="46" t="str">
        <x:v>Own CAD; compatibility wording</x:v>
      </x:c>
      <x:c r="AJ75" s="46" t="str">
        <x:v>No—own design</x:v>
      </x:c>
      <x:c r="AK75" s="50" t="n">
        <x:v>11.9</x:v>
      </x:c>
      <x:c r="AL75" s="50" t="n">
        <x:f>'Unit Economics'!R75</x:f>
        <x:v>18.477199999999996</x:v>
      </x:c>
      <x:c r="AM75" s="50" t="n">
        <x:f>'Unit Economics'!V75</x:f>
        <x:v>55.335</x:v>
      </x:c>
      <x:c r="AN75" s="54" t="n">
        <x:f>'Unit Economics'!Y75</x:f>
        <x:v>0.5526408602150539</x:v>
      </x:c>
      <x:c r="AO75" s="48" t="n">
        <x:f>ROUND(H75*Assumptions!$B$39+I75*20*Assumptions!$B$40+J75*20*Assumptions!$B$41+K75*20*Assumptions!$B$42+L75*20*Assumptions!$B$43+(6-AC75)*20*Assumptions!$B$44,1)</x:f>
        <x:v>82.3</x:v>
      </x:c>
      <x:c r="AP75" s="46" t="str">
        <x:f>IF(OR(AC75&gt;=4,AD75="Yes",AE75="Yes",AF75="Complete electrical"),"Specialist / Hold",IF(AND(AO75&gt;=92,AH75="Ready",AC75&lt;=2),"Wave 1",IF(AO75&gt;=82,"Wave 2","Wave 3")))</x:f>
        <x:v>Wave 2</x:v>
      </x:c>
      <x:c r="AQ75" s="46" t="str">
        <x:v>S02; S11; S15; S19; S20; S28</x:v>
      </x:c>
      <x:c r="AR75" s="46" t="str">
        <x:v>Backlog</x:v>
      </x:c>
      <x:c r="AS75" s="46" t="str">
        <x:v>Pilot with one certified task-light family</x:v>
      </x:c>
      <x:c r="AT75" s="46" t="str"/>
    </x:row>
    <x:row r="76" ht="42" customHeight="1">
      <x:c r="A76" s="46" t="str">
        <x:v>SKU-075</x:v>
      </x:c>
      <x:c r="B76" s="46" t="str">
        <x:v>Modular original desk-totem series</x:v>
      </x:c>
      <x:c r="C76" s="46" t="str">
        <x:v>Adult desk fidgets &amp; original collectibles</x:v>
      </x:c>
      <x:c r="D76" s="46" t="n">
        <x:v>20</x:v>
      </x:c>
      <x:c r="E76" s="46" t="str">
        <x:v>Build collectible decorative totems with interchangeable original motifs.</x:v>
      </x:c>
      <x:c r="F76" s="46" t="str">
        <x:v>Adult collectors, gifting and office decor</x:v>
      </x:c>
      <x:c r="G76" s="46" t="str">
        <x:v>Whimsy, charms and collectibility remain visible 2026 demand signals and active 3D-model categories.</x:v>
      </x:c>
      <x:c r="H76" s="52" t="n">
        <x:v>70</x:v>
      </x:c>
      <x:c r="I76" s="52" t="n">
        <x:v>5</x:v>
      </x:c>
      <x:c r="J76" s="52" t="n">
        <x:v>5</x:v>
      </x:c>
      <x:c r="K76" s="52" t="n">
        <x:v>4</x:v>
      </x:c>
      <x:c r="L76" s="52" t="n">
        <x:v>4</x:v>
      </x:c>
      <x:c r="M76" s="52" t="n">
        <x:v>125</x:v>
      </x:c>
      <x:c r="N76" s="52" t="n">
        <x:v>85</x:v>
      </x:c>
      <x:c r="O76" s="52" t="n">
        <x:v>185</x:v>
      </x:c>
      <x:c r="P76" s="46" t="str">
        <x:v>M</x:v>
      </x:c>
      <x:c r="Q76" s="46" t="str">
        <x:v>Base + interchangeable captive modules</x:v>
      </x:c>
      <x:c r="R76" s="46" t="str">
        <x:v>PLA</x:v>
      </x:c>
      <x:c r="S76" s="46" t="str">
        <x:v>Optional weighted base</x:v>
      </x:c>
      <x:c r="T76" s="46" t="str">
        <x:v>Core 250 mm</x:v>
      </x:c>
      <x:c r="U76" s="46" t="str">
        <x:v>No</x:v>
      </x:c>
      <x:c r="V76" s="46" t="str">
        <x:v>None</x:v>
      </x:c>
      <x:c r="W76" s="52" t="n">
        <x:v>3</x:v>
      </x:c>
      <x:c r="X76" s="46" t="str">
        <x:v>Motif selection, colors, size, personalization</x:v>
      </x:c>
      <x:c r="Y76" s="46" t="str">
        <x:v>Module shapes, connector, base, name plate</x:v>
      </x:c>
      <x:c r="Z76" s="46" t="str">
        <x:v>Component retention, tip, break and small-parts review</x:v>
      </x:c>
      <x:c r="AA76" s="46" t="str">
        <x:v>Adult decorative collectible; avoid detachable tiny parts</x:v>
      </x:c>
      <x:c r="AB76" s="46" t="str">
        <x:v>GPSR + adult collectible/component validation</x:v>
      </x:c>
      <x:c r="AC76" s="52" t="n">
        <x:v>3</x:v>
      </x:c>
      <x:c r="AD76" s="46" t="str">
        <x:v>No</x:v>
      </x:c>
      <x:c r="AE76" s="46" t="str">
        <x:v>Potential</x:v>
      </x:c>
      <x:c r="AF76" s="46" t="str">
        <x:v>No</x:v>
      </x:c>
      <x:c r="AG76" s="46" t="str">
        <x:v>No</x:v>
      </x:c>
      <x:c r="AH76" s="46" t="str">
        <x:v>Guided</x:v>
      </x:c>
      <x:c r="AI76" s="46" t="str">
        <x:v>Own original design library</x:v>
      </x:c>
      <x:c r="AJ76" s="46" t="str">
        <x:v>No—own design</x:v>
      </x:c>
      <x:c r="AK76" s="50" t="n">
        <x:v>11.9</x:v>
      </x:c>
      <x:c r="AL76" s="50" t="n">
        <x:f>'Unit Economics'!R76</x:f>
        <x:v>16.06444</x:v>
      </x:c>
      <x:c r="AM76" s="50" t="n">
        <x:f>'Unit Economics'!V76</x:f>
        <x:v>48.195</x:v>
      </x:c>
      <x:c r="AN76" s="54" t="n">
        <x:f>'Unit Economics'!Y76</x:f>
        <x:v>0.5533471604938272</x:v>
      </x:c>
      <x:c r="AO76" s="48" t="n">
        <x:f>ROUND(H76*Assumptions!$B$39+I76*20*Assumptions!$B$40+J76*20*Assumptions!$B$41+K76*20*Assumptions!$B$42+L76*20*Assumptions!$B$43+(6-AC76)*20*Assumptions!$B$44,1)</x:f>
        <x:v>82</x:v>
      </x:c>
      <x:c r="AP76" s="46" t="str">
        <x:f>IF(OR(AC76&gt;=4,AD76="Yes",AE76="Yes",AF76="Complete electrical"),"Specialist / Hold",IF(AND(AO76&gt;=92,AH76="Ready",AC76&lt;=2),"Wave 1",IF(AO76&gt;=82,"Wave 2","Wave 3")))</x:f>
        <x:v>Wave 2</x:v>
      </x:c>
      <x:c r="AQ76" s="46" t="str">
        <x:v>S01; S04; S11; S16; S18</x:v>
      </x:c>
      <x:c r="AR76" s="46" t="str">
        <x:v>Backlog</x:v>
      </x:c>
      <x:c r="AS76" s="46" t="str">
        <x:v>Create first five original motifs and captive connector</x:v>
      </x:c>
      <x:c r="AT76" s="46" t="str"/>
    </x:row>
    <x:row r="77" ht="42" customHeight="1">
      <x:c r="A77" s="46" t="str">
        <x:v>SKU-076</x:v>
      </x:c>
      <x:c r="B77" s="46" t="str">
        <x:v>Configurable board-game box insert</x:v>
      </x:c>
      <x:c r="C77" s="46" t="str">
        <x:v>Board-game inserts, card holders &amp; dice towers</x:v>
      </x:c>
      <x:c r="D77" s="46" t="n">
        <x:v>18</x:v>
      </x:c>
      <x:c r="E77" s="46" t="str">
        <x:v>Fit an insert to a box and component set, including sleeved cards.</x:v>
      </x:c>
      <x:c r="F77" s="46" t="str">
        <x:v>Adult hobby gamers and collectors</x:v>
      </x:c>
      <x:c r="G77" s="46" t="str">
        <x:v>Analog hobby revival and social activity trends support adult tabletop accessories.</x:v>
      </x:c>
      <x:c r="H77" s="52" t="n">
        <x:v>75</x:v>
      </x:c>
      <x:c r="I77" s="52" t="n">
        <x:v>5</x:v>
      </x:c>
      <x:c r="J77" s="52" t="n">
        <x:v>5</x:v>
      </x:c>
      <x:c r="K77" s="52" t="n">
        <x:v>4</x:v>
      </x:c>
      <x:c r="L77" s="52" t="n">
        <x:v>3</x:v>
      </x:c>
      <x:c r="M77" s="52" t="n">
        <x:v>235</x:v>
      </x:c>
      <x:c r="N77" s="52" t="n">
        <x:v>235</x:v>
      </x:c>
      <x:c r="O77" s="52" t="n">
        <x:v>65</x:v>
      </x:c>
      <x:c r="P77" s="46" t="str">
        <x:v>M</x:v>
      </x:c>
      <x:c r="Q77" s="46" t="str">
        <x:v>Multi-tray insert system</x:v>
      </x:c>
      <x:c r="R77" s="46" t="str">
        <x:v>PLA</x:v>
      </x:c>
      <x:c r="S77" s="46" t="str">
        <x:v>Optional labels</x:v>
      </x:c>
      <x:c r="T77" s="46" t="str">
        <x:v>Core 250 mm</x:v>
      </x:c>
      <x:c r="U77" s="46" t="str">
        <x:v>No</x:v>
      </x:c>
      <x:c r="V77" s="46" t="str">
        <x:v>None</x:v>
      </x:c>
      <x:c r="W77" s="52" t="n">
        <x:v>3</x:v>
      </x:c>
      <x:c r="X77" s="46" t="str">
        <x:v>Box internal dimensions, component list/photo, sleeve thickness</x:v>
      </x:c>
      <x:c r="Y77" s="46" t="str">
        <x:v>Tray layout, wells, finger access, lid lift</x:v>
      </x:c>
      <x:c r="Z77" s="46" t="str">
        <x:v>Box fit, component fit, shake test and setup-time pilot</x:v>
      </x:c>
      <x:c r="AA77" s="46" t="str">
        <x:v>Generic/custom layout; game names/artwork require rights review</x:v>
      </x:c>
      <x:c r="AB77" s="46" t="str">
        <x:v>GPSR + IP and toy-classification screen</x:v>
      </x:c>
      <x:c r="AC77" s="52" t="n">
        <x:v>3</x:v>
      </x:c>
      <x:c r="AD77" s="46" t="str">
        <x:v>No</x:v>
      </x:c>
      <x:c r="AE77" s="46" t="str">
        <x:v>Potential</x:v>
      </x:c>
      <x:c r="AF77" s="46" t="str">
        <x:v>No</x:v>
      </x:c>
      <x:c r="AG77" s="46" t="str">
        <x:v>No</x:v>
      </x:c>
      <x:c r="AH77" s="46" t="str">
        <x:v>Guided</x:v>
      </x:c>
      <x:c r="AI77" s="46" t="str">
        <x:v>Own parametric CAD; customer data</x:v>
      </x:c>
      <x:c r="AJ77" s="46" t="str">
        <x:v>Game-specific rights review required</x:v>
      </x:c>
      <x:c r="AK77" s="50" t="n">
        <x:v>14.9</x:v>
      </x:c>
      <x:c r="AL77" s="50" t="n">
        <x:f>'Unit Economics'!R77</x:f>
        <x:v>41.814640000000004</x:v>
      </x:c>
      <x:c r="AM77" s="50" t="n">
        <x:f>'Unit Economics'!V77</x:f>
        <x:v>124.94999999999999</x:v>
      </x:c>
      <x:c r="AN77" s="54" t="n">
        <x:f>'Unit Economics'!Y77</x:f>
        <x:v>0.5517653333333333</x:v>
      </x:c>
      <x:c r="AO77" s="48" t="n">
        <x:f>ROUND(H77*Assumptions!$B$39+I77*20*Assumptions!$B$40+J77*20*Assumptions!$B$41+K77*20*Assumptions!$B$42+L77*20*Assumptions!$B$43+(6-AC77)*20*Assumptions!$B$44,1)</x:f>
        <x:v>81.5</x:v>
      </x:c>
      <x:c r="AP77" s="46" t="str">
        <x:f>IF(OR(AC77&gt;=4,AD77="Yes",AE77="Yes",AF77="Complete electrical"),"Specialist / Hold",IF(AND(AO77&gt;=92,AH77="Ready",AC77&lt;=2),"Wave 1",IF(AO77&gt;=82,"Wave 2","Wave 3")))</x:f>
        <x:v>Wave 3</x:v>
      </x:c>
      <x:c r="AQ77" s="46" t="str">
        <x:v>S01; S04; S11; S16</x:v>
      </x:c>
      <x:c r="AR77" s="46" t="str">
        <x:v>Backlog</x:v>
      </x:c>
      <x:c r="AS77" s="46" t="str">
        <x:v>Build generic insert engine and IP review checklist</x:v>
      </x:c>
      <x:c r="AT77" s="46" t="str"/>
    </x:row>
    <x:row r="78" ht="42" customHeight="1">
      <x:c r="A78" s="46" t="str">
        <x:v>SKU-077</x:v>
      </x:c>
      <x:c r="B78" s="46" t="str">
        <x:v>Fold-flat modular dice tower</x:v>
      </x:c>
      <x:c r="C78" s="46" t="str">
        <x:v>Board-game inserts, card holders &amp; dice towers</x:v>
      </x:c>
      <x:c r="D78" s="46" t="n">
        <x:v>18</x:v>
      </x:c>
      <x:c r="E78" s="46" t="str">
        <x:v>Provide a compact tower that packs flat and assembles without tools.</x:v>
      </x:c>
      <x:c r="F78" s="46" t="str">
        <x:v>Adult tabletop gamers and gifts</x:v>
      </x:c>
      <x:c r="G78" s="46" t="str">
        <x:v>Analog hobby revival and social activity trends support adult tabletop accessories.</x:v>
      </x:c>
      <x:c r="H78" s="52" t="n">
        <x:v>75</x:v>
      </x:c>
      <x:c r="I78" s="52" t="n">
        <x:v>5</x:v>
      </x:c>
      <x:c r="J78" s="52" t="n">
        <x:v>5</x:v>
      </x:c>
      <x:c r="K78" s="52" t="n">
        <x:v>4</x:v>
      </x:c>
      <x:c r="L78" s="52" t="n">
        <x:v>3</x:v>
      </x:c>
      <x:c r="M78" s="52" t="n">
        <x:v>230</x:v>
      </x:c>
      <x:c r="N78" s="52" t="n">
        <x:v>165</x:v>
      </x:c>
      <x:c r="O78" s="52" t="n">
        <x:v>48</x:v>
      </x:c>
      <x:c r="P78" s="46" t="str">
        <x:v>M</x:v>
      </x:c>
      <x:c r="Q78" s="46" t="str">
        <x:v>Flat panels + locking tray</x:v>
      </x:c>
      <x:c r="R78" s="46" t="str">
        <x:v>PETG</x:v>
      </x:c>
      <x:c r="S78" s="46" t="str">
        <x:v>Optional felt insert</x:v>
      </x:c>
      <x:c r="T78" s="46" t="str">
        <x:v>Core 250 mm</x:v>
      </x:c>
      <x:c r="U78" s="46" t="str">
        <x:v>No</x:v>
      </x:c>
      <x:c r="V78" s="46" t="str">
        <x:v>None</x:v>
      </x:c>
      <x:c r="W78" s="52" t="n">
        <x:v>3</x:v>
      </x:c>
      <x:c r="X78" s="46" t="str">
        <x:v>Dice size, assembled height, tray footprint, style</x:v>
      </x:c>
      <x:c r="Y78" s="46" t="str">
        <x:v>Panel joints, baffles, tray, noise liner, motif</x:v>
      </x:c>
      <x:c r="Z78" s="46" t="str">
        <x:v>Dice-flow test, joint cycles, tip and small-part inspection</x:v>
      </x:c>
      <x:c r="AA78" s="46" t="str">
        <x:v>Adult tabletop accessory; no copied franchise motifs</x:v>
      </x:c>
      <x:c r="AB78" s="46" t="str">
        <x:v>GPSR + assembly/toy-classification screen</x:v>
      </x:c>
      <x:c r="AC78" s="52" t="n">
        <x:v>3</x:v>
      </x:c>
      <x:c r="AD78" s="46" t="str">
        <x:v>No</x:v>
      </x:c>
      <x:c r="AE78" s="46" t="str">
        <x:v>Potential</x:v>
      </x:c>
      <x:c r="AF78" s="46" t="str">
        <x:v>No</x:v>
      </x:c>
      <x:c r="AG78" s="46" t="str">
        <x:v>No</x:v>
      </x:c>
      <x:c r="AH78" s="46" t="str">
        <x:v>Guided</x:v>
      </x:c>
      <x:c r="AI78" s="46" t="str">
        <x:v>Own original CAD/art</x:v>
      </x:c>
      <x:c r="AJ78" s="46" t="str">
        <x:v>No—own design</x:v>
      </x:c>
      <x:c r="AK78" s="50" t="n">
        <x:v>12.9</x:v>
      </x:c>
      <x:c r="AL78" s="50" t="n">
        <x:f>'Unit Economics'!R78</x:f>
        <x:v>35.91168</x:v>
      </x:c>
      <x:c r="AM78" s="50" t="n">
        <x:f>'Unit Economics'!V78</x:f>
        <x:v>107.1</x:v>
      </x:c>
      <x:c r="AN78" s="54" t="n">
        <x:f>'Unit Economics'!Y78</x:f>
        <x:v>0.5509813333333333</x:v>
      </x:c>
      <x:c r="AO78" s="48" t="n">
        <x:f>ROUND(H78*Assumptions!$B$39+I78*20*Assumptions!$B$40+J78*20*Assumptions!$B$41+K78*20*Assumptions!$B$42+L78*20*Assumptions!$B$43+(6-AC78)*20*Assumptions!$B$44,1)</x:f>
        <x:v>81.5</x:v>
      </x:c>
      <x:c r="AP78" s="46" t="str">
        <x:f>IF(OR(AC78&gt;=4,AD78="Yes",AE78="Yes",AF78="Complete electrical"),"Specialist / Hold",IF(AND(AO78&gt;=92,AH78="Ready",AC78&lt;=2),"Wave 1",IF(AO78&gt;=82,"Wave 2","Wave 3")))</x:f>
        <x:v>Wave 3</x:v>
      </x:c>
      <x:c r="AQ78" s="46" t="str">
        <x:v>S01; S04; S11; S16</x:v>
      </x:c>
      <x:c r="AR78" s="46" t="str">
        <x:v>Backlog</x:v>
      </x:c>
      <x:c r="AS78" s="46" t="str">
        <x:v>Prototype quiet and compact joint systems</x:v>
      </x:c>
      <x:c r="AT78" s="46" t="str"/>
    </x:row>
    <x:row r="79" ht="42" customHeight="1">
      <x:c r="A79" s="46" t="str">
        <x:v>SKU-078</x:v>
      </x:c>
      <x:c r="B79" s="46" t="str">
        <x:v>Scanner-to-fit furniture foot or end cap</x:v>
      </x:c>
      <x:c r="C79" s="46" t="str">
        <x:v>Non-safety-critical replacement parts</x:v>
      </x:c>
      <x:c r="D79" s="46" t="n">
        <x:v>19</x:v>
      </x:c>
      <x:c r="E79" s="46" t="str">
        <x:v>Replace a missing non-structural foot/cap using dimensions or a scan.</x:v>
      </x:c>
      <x:c r="F79" s="46" t="str">
        <x:v>Households, repair cafes and furniture owners</x:v>
      </x:c>
      <x:c r="G79" s="46" t="str">
        <x:v>EU right-to-repair rules apply from 31 July 2026 and explicitly support compatible, lawful repair pathways.</x:v>
      </x:c>
      <x:c r="H79" s="52" t="n">
        <x:v>76</x:v>
      </x:c>
      <x:c r="I79" s="52" t="n">
        <x:v>5</x:v>
      </x:c>
      <x:c r="J79" s="52" t="n">
        <x:v>5</x:v>
      </x:c>
      <x:c r="K79" s="52" t="n">
        <x:v>3</x:v>
      </x:c>
      <x:c r="L79" s="52" t="n">
        <x:v>4</x:v>
      </x:c>
      <x:c r="M79" s="52" t="n">
        <x:v>85</x:v>
      </x:c>
      <x:c r="N79" s="52" t="n">
        <x:v>85</x:v>
      </x:c>
      <x:c r="O79" s="52" t="n">
        <x:v>55</x:v>
      </x:c>
      <x:c r="P79" s="46" t="str">
        <x:v>S</x:v>
      </x:c>
      <x:c r="Q79" s="46" t="str">
        <x:v>Single replacement part</x:v>
      </x:c>
      <x:c r="R79" s="46" t="str">
        <x:v>TPU</x:v>
      </x:c>
      <x:c r="S79" s="46" t="str">
        <x:v>Optional PETG core</x:v>
      </x:c>
      <x:c r="T79" s="46" t="str">
        <x:v>Flexible-capable 250 mm</x:v>
      </x:c>
      <x:c r="U79" s="46" t="str">
        <x:v>No</x:v>
      </x:c>
      <x:c r="V79" s="46" t="str">
        <x:v>None</x:v>
      </x:c>
      <x:c r="W79" s="52" t="n">
        <x:v>3</x:v>
      </x:c>
      <x:c r="X79" s="46" t="str">
        <x:v>Photos/scan, tube/leg dimensions, furniture use and load</x:v>
      </x:c>
      <x:c r="Y79" s="46" t="str">
        <x:v>Socket geometry, wall thickness, grip ribs, pad</x:v>
      </x:c>
      <x:c r="Z79" s="46" t="str">
        <x:v>Fit test, floor-marking, compression and creep check</x:v>
      </x:c>
      <x:c r="AA79" s="46" t="str">
        <x:v>Non-structural floor/contact cap only; not for chairs/ladders where failure can injure</x:v>
      </x:c>
      <x:c r="AB79" s="46" t="str">
        <x:v>GPSR + replacement-part case review</x:v>
      </x:c>
      <x:c r="AC79" s="52" t="n">
        <x:v>3</x:v>
      </x:c>
      <x:c r="AD79" s="46" t="str">
        <x:v>No</x:v>
      </x:c>
      <x:c r="AE79" s="46" t="str">
        <x:v>No</x:v>
      </x:c>
      <x:c r="AF79" s="46" t="str">
        <x:v>No</x:v>
      </x:c>
      <x:c r="AG79" s="46" t="str">
        <x:v>Light duty</x:v>
      </x:c>
      <x:c r="AH79" s="46" t="str">
        <x:v>Guided</x:v>
      </x:c>
      <x:c r="AI79" s="46" t="str">
        <x:v>Own measured replacement geometry; design-right review</x:v>
      </x:c>
      <x:c r="AJ79" s="46" t="str">
        <x:v>Case-by-case rights review</x:v>
      </x:c>
      <x:c r="AK79" s="50" t="n">
        <x:v>12.9</x:v>
      </x:c>
      <x:c r="AL79" s="50" t="n">
        <x:f>'Unit Economics'!R79</x:f>
        <x:v>13.013349999999999</x:v>
      </x:c>
      <x:c r="AM79" s="50" t="n">
        <x:f>'Unit Economics'!V79</x:f>
        <x:v>39.269999999999996</x:v>
      </x:c>
      <x:c r="AN79" s="54" t="n">
        <x:f>'Unit Economics'!Y79</x:f>
        <x:v>0.5556560606060607</x:v>
      </x:c>
      <x:c r="AO79" s="48" t="n">
        <x:f>ROUND(H79*Assumptions!$B$39+I79*20*Assumptions!$B$40+J79*20*Assumptions!$B$41+K79*20*Assumptions!$B$42+L79*20*Assumptions!$B$43+(6-AC79)*20*Assumptions!$B$44,1)</x:f>
        <x:v>80.8</x:v>
      </x:c>
      <x:c r="AP79" s="46" t="str">
        <x:f>IF(OR(AC79&gt;=4,AD79="Yes",AE79="Yes",AF79="Complete electrical"),"Specialist / Hold",IF(AND(AO79&gt;=92,AH79="Ready",AC79&lt;=2),"Wave 1",IF(AO79&gt;=82,"Wave 2","Wave 3")))</x:f>
        <x:v>Wave 3</x:v>
      </x:c>
      <x:c r="AQ79" s="46" t="str">
        <x:v>S10; S11; S16; S25; S29; S10; S29</x:v>
      </x:c>
      <x:c r="AR79" s="46" t="str">
        <x:v>Backlog</x:v>
      </x:c>
      <x:c r="AS79" s="46" t="str">
        <x:v>Create exclusion checklist and scan/measurement guide</x:v>
      </x:c>
      <x:c r="AT79" s="46" t="str"/>
    </x:row>
    <x:row r="80" ht="42" customHeight="1">
      <x:c r="A80" s="46" t="str">
        <x:v>SKU-079</x:v>
      </x:c>
      <x:c r="B80" s="46" t="str">
        <x:v>Vacuum-cleaner hose adapter</x:v>
      </x:c>
      <x:c r="C80" s="46" t="str">
        <x:v>Non-safety-critical replacement parts</x:v>
      </x:c>
      <x:c r="D80" s="46" t="n">
        <x:v>19</x:v>
      </x:c>
      <x:c r="E80" s="46" t="str">
        <x:v>Connect a household vacuum hose to a non-hazardous accessory or legacy fitting.</x:v>
      </x:c>
      <x:c r="F80" s="46" t="str">
        <x:v>Households, workshops and repair users</x:v>
      </x:c>
      <x:c r="G80" s="46" t="str">
        <x:v>EU right-to-repair rules apply from 31 July 2026 and explicitly support compatible, lawful repair pathways.</x:v>
      </x:c>
      <x:c r="H80" s="52" t="n">
        <x:v>76</x:v>
      </x:c>
      <x:c r="I80" s="52" t="n">
        <x:v>5</x:v>
      </x:c>
      <x:c r="J80" s="52" t="n">
        <x:v>5</x:v>
      </x:c>
      <x:c r="K80" s="52" t="n">
        <x:v>3</x:v>
      </x:c>
      <x:c r="L80" s="52" t="n">
        <x:v>4</x:v>
      </x:c>
      <x:c r="M80" s="52" t="n">
        <x:v>155</x:v>
      </x:c>
      <x:c r="N80" s="52" t="n">
        <x:v>105</x:v>
      </x:c>
      <x:c r="O80" s="52" t="n">
        <x:v>105</x:v>
      </x:c>
      <x:c r="P80" s="46" t="str">
        <x:v>M</x:v>
      </x:c>
      <x:c r="Q80" s="46" t="str">
        <x:v>Single tapered adapter</x:v>
      </x:c>
      <x:c r="R80" s="46" t="str">
        <x:v>PETG</x:v>
      </x:c>
      <x:c r="S80" s="46" t="str">
        <x:v>Optional TPU seal ring</x:v>
      </x:c>
      <x:c r="T80" s="46" t="str">
        <x:v>Core 250 mm</x:v>
      </x:c>
      <x:c r="U80" s="46" t="str">
        <x:v>No</x:v>
      </x:c>
      <x:c r="V80" s="46" t="str">
        <x:v>None</x:v>
      </x:c>
      <x:c r="W80" s="52" t="n">
        <x:v>3</x:v>
      </x:c>
      <x:c r="X80" s="46" t="str">
        <x:v>Both interface diameters/tapers, vacuum model, use environment</x:v>
      </x:c>
      <x:c r="Y80" s="46" t="str">
        <x:v>Tapers, wall thickness, stop flange, seal groove</x:v>
      </x:c>
      <x:c r="Z80" s="46" t="str">
        <x:v>Fit, suction collapse, leak and retention test</x:v>
      </x:c>
      <x:c r="AA80" s="46" t="str">
        <x:v>Household dry vacuum use only; exclude combustible dust, liquids and industrial extraction</x:v>
      </x:c>
      <x:c r="AB80" s="46" t="str">
        <x:v>GPSR + replacement-part functional validation</x:v>
      </x:c>
      <x:c r="AC80" s="52" t="n">
        <x:v>3</x:v>
      </x:c>
      <x:c r="AD80" s="46" t="str">
        <x:v>No</x:v>
      </x:c>
      <x:c r="AE80" s="46" t="str">
        <x:v>No</x:v>
      </x:c>
      <x:c r="AF80" s="46" t="str">
        <x:v>Accessory only</x:v>
      </x:c>
      <x:c r="AG80" s="46" t="str">
        <x:v>No</x:v>
      </x:c>
      <x:c r="AH80" s="46" t="str">
        <x:v>Guided</x:v>
      </x:c>
      <x:c r="AI80" s="46" t="str">
        <x:v>Own measured adapter; compatibility wording/IP review</x:v>
      </x:c>
      <x:c r="AJ80" s="46" t="str">
        <x:v>Case-by-case rights review</x:v>
      </x:c>
      <x:c r="AK80" s="50" t="n">
        <x:v>12.9</x:v>
      </x:c>
      <x:c r="AL80" s="50" t="n">
        <x:f>'Unit Economics'!R80</x:f>
        <x:v>16.34409</x:v>
      </x:c>
      <x:c r="AM80" s="50" t="n">
        <x:f>'Unit Economics'!V80</x:f>
        <x:v>48.79</x:v>
      </x:c>
      <x:c r="AN80" s="54" t="n">
        <x:f>'Unit Economics'!Y80</x:f>
        <x:v>0.5513636585365853</x:v>
      </x:c>
      <x:c r="AO80" s="48" t="n">
        <x:f>ROUND(H80*Assumptions!$B$39+I80*20*Assumptions!$B$40+J80*20*Assumptions!$B$41+K80*20*Assumptions!$B$42+L80*20*Assumptions!$B$43+(6-AC80)*20*Assumptions!$B$44,1)</x:f>
        <x:v>80.8</x:v>
      </x:c>
      <x:c r="AP80" s="46" t="str">
        <x:f>IF(OR(AC80&gt;=4,AD80="Yes",AE80="Yes",AF80="Complete electrical"),"Specialist / Hold",IF(AND(AO80&gt;=92,AH80="Ready",AC80&lt;=2),"Wave 1",IF(AO80&gt;=82,"Wave 2","Wave 3")))</x:f>
        <x:v>Wave 3</x:v>
      </x:c>
      <x:c r="AQ80" s="46" t="str">
        <x:v>S10; S11; S16; S25; S29; S10; S29</x:v>
      </x:c>
      <x:c r="AR80" s="46" t="str">
        <x:v>Backlog</x:v>
      </x:c>
      <x:c r="AS80" s="46" t="str">
        <x:v>Create diameter/taper capture tool and exclusion warning</x:v>
      </x:c>
      <x:c r="AT80" s="46" t="str"/>
    </x:row>
    <x:row r="81" ht="42" customHeight="1">
      <x:c r="A81" s="46" t="str">
        <x:v>SKU-080</x:v>
      </x:c>
      <x:c r="B81" s="46" t="str">
        <x:v>Modular coat-hook set</x:v>
      </x:c>
      <x:c r="C81" s="46" t="str">
        <x:v>Wall hooks, key holders &amp; entry organizers</x:v>
      </x:c>
      <x:c r="D81" s="46" t="n">
        <x:v>5</x:v>
      </x:c>
      <x:c r="E81" s="46" t="str">
        <x:v>Create a coordinated hook set sized and spaced for a specific wall.</x:v>
      </x:c>
      <x:c r="F81" s="46" t="str">
        <x:v>Small apartments and family entryways</x:v>
      </x:c>
      <x:c r="G81" s="46" t="str">
        <x:v>Personalized home organization and small-space storage remain broad consumer needs.</x:v>
      </x:c>
      <x:c r="H81" s="52" t="n">
        <x:v>89</x:v>
      </x:c>
      <x:c r="I81" s="52" t="n">
        <x:v>5</x:v>
      </x:c>
      <x:c r="J81" s="52" t="n">
        <x:v>5</x:v>
      </x:c>
      <x:c r="K81" s="52" t="n">
        <x:v>3</x:v>
      </x:c>
      <x:c r="L81" s="52" t="n">
        <x:v>3</x:v>
      </x:c>
      <x:c r="M81" s="52" t="n">
        <x:v>110</x:v>
      </x:c>
      <x:c r="N81" s="52" t="n">
        <x:v>85</x:v>
      </x:c>
      <x:c r="O81" s="52" t="n">
        <x:v>75</x:v>
      </x:c>
      <x:c r="P81" s="46" t="str">
        <x:v>M</x:v>
      </x:c>
      <x:c r="Q81" s="46" t="str">
        <x:v>Individual hooks + drilling template</x:v>
      </x:c>
      <x:c r="R81" s="46" t="str">
        <x:v>PETG</x:v>
      </x:c>
      <x:c r="S81" s="46" t="str">
        <x:v>Certified fasteners</x:v>
      </x:c>
      <x:c r="T81" s="46" t="str">
        <x:v>Core 250 mm</x:v>
      </x:c>
      <x:c r="U81" s="46" t="str">
        <x:v>No</x:v>
      </x:c>
      <x:c r="V81" s="46" t="str">
        <x:v>None</x:v>
      </x:c>
      <x:c r="W81" s="52" t="n">
        <x:v>3</x:v>
      </x:c>
      <x:c r="X81" s="46" t="str">
        <x:v>Garment types/weights, wall type, hook count and spacing</x:v>
      </x:c>
      <x:c r="Y81" s="46" t="str">
        <x:v>Hook depth, ribbing, mounting hole, style</x:v>
      </x:c>
      <x:c r="Z81" s="46" t="str">
        <x:v>Creep test, pull test, 1,000 load cycles, fastener validation</x:v>
      </x:c>
      <x:c r="AA81" s="46" t="str">
        <x:v>Only within published load class; not for climbing or body support</x:v>
      </x:c>
      <x:c r="AB81" s="46" t="str">
        <x:v>GPSR + load/mounting validation</x:v>
      </x:c>
      <x:c r="AC81" s="52" t="n">
        <x:v>4</x:v>
      </x:c>
      <x:c r="AD81" s="46" t="str">
        <x:v>No</x:v>
      </x:c>
      <x:c r="AE81" s="46" t="str">
        <x:v>No</x:v>
      </x:c>
      <x:c r="AF81" s="46" t="str">
        <x:v>No</x:v>
      </x:c>
      <x:c r="AG81" s="46" t="str">
        <x:v>Yes—test</x:v>
      </x:c>
      <x:c r="AH81" s="46" t="str">
        <x:v>Local only</x:v>
      </x:c>
      <x:c r="AI81" s="46" t="str">
        <x:v>Own engineered design</x:v>
      </x:c>
      <x:c r="AJ81" s="46" t="str">
        <x:v>No—own design</x:v>
      </x:c>
      <x:c r="AK81" s="50" t="n">
        <x:v>12.9</x:v>
      </x:c>
      <x:c r="AL81" s="50" t="n">
        <x:f>'Unit Economics'!R81</x:f>
        <x:v>30.677990000000005</x:v>
      </x:c>
      <x:c r="AM81" s="50" t="n">
        <x:f>'Unit Economics'!V81</x:f>
        <x:v>91.63</x:v>
      </x:c>
      <x:c r="AN81" s="54" t="n">
        <x:f>'Unit Economics'!Y81</x:f>
        <x:v>0.5515845454545454</x:v>
      </x:c>
      <x:c r="AO81" s="48" t="n">
        <x:f>ROUND(H81*Assumptions!$B$39+I81*20*Assumptions!$B$40+J81*20*Assumptions!$B$41+K81*20*Assumptions!$B$42+L81*20*Assumptions!$B$43+(6-AC81)*20*Assumptions!$B$44,1)</x:f>
        <x:v>80.7</x:v>
      </x:c>
      <x:c r="AP81" s="46" t="str">
        <x:f>IF(OR(AC81&gt;=4,AD81="Yes",AE81="Yes",AF81="Complete electrical"),"Specialist / Hold",IF(AND(AO81&gt;=92,AH81="Ready",AC81&lt;=2),"Wave 1",IF(AO81&gt;=82,"Wave 2","Wave 3")))</x:f>
        <x:v>Specialist / Hold</x:v>
      </x:c>
      <x:c r="AQ81" s="46" t="str">
        <x:v>S02; S05; S08; S11; S19; S25</x:v>
      </x:c>
      <x:c r="AR81" s="46" t="str">
        <x:v>Backlog</x:v>
      </x:c>
      <x:c r="AS81" s="46" t="str">
        <x:v>Engineering review and destructive load test</x:v>
      </x:c>
      <x:c r="AT81" s="46" t="str"/>
    </x:row>
    <x:row r="82" ht="42" customHeight="1">
      <x:c r="A82" s="46" t="str">
        <x:v>SKU-081</x:v>
      </x:c>
      <x:c r="B82" s="46" t="str">
        <x:v>Pet leash and harness station</x:v>
      </x:c>
      <x:c r="C82" s="46" t="str">
        <x:v>Wall hooks, key holders &amp; entry organizers</x:v>
      </x:c>
      <x:c r="D82" s="46" t="n">
        <x:v>5</x:v>
      </x:c>
      <x:c r="E82" s="46" t="str">
        <x:v>Organize leashes, collars and bags in an entryway.</x:v>
      </x:c>
      <x:c r="F82" s="46" t="str">
        <x:v>Dog owners and pet households</x:v>
      </x:c>
      <x:c r="G82" s="46" t="str">
        <x:v>Personalized home organization and small-space storage remain broad consumer needs.</x:v>
      </x:c>
      <x:c r="H82" s="52" t="n">
        <x:v>89</x:v>
      </x:c>
      <x:c r="I82" s="52" t="n">
        <x:v>5</x:v>
      </x:c>
      <x:c r="J82" s="52" t="n">
        <x:v>5</x:v>
      </x:c>
      <x:c r="K82" s="52" t="n">
        <x:v>3</x:v>
      </x:c>
      <x:c r="L82" s="52" t="n">
        <x:v>3</x:v>
      </x:c>
      <x:c r="M82" s="52" t="n">
        <x:v>235</x:v>
      </x:c>
      <x:c r="N82" s="52" t="n">
        <x:v>115</x:v>
      </x:c>
      <x:c r="O82" s="52" t="n">
        <x:v>125</x:v>
      </x:c>
      <x:c r="P82" s="46" t="str">
        <x:v>M</x:v>
      </x:c>
      <x:c r="Q82" s="46" t="str">
        <x:v>Backplate + hooks + bag shelf</x:v>
      </x:c>
      <x:c r="R82" s="46" t="str">
        <x:v>PETG</x:v>
      </x:c>
      <x:c r="S82" s="46" t="str">
        <x:v>Certified fasteners</x:v>
      </x:c>
      <x:c r="T82" s="46" t="str">
        <x:v>Core 250 mm</x:v>
      </x:c>
      <x:c r="U82" s="46" t="str">
        <x:v>No</x:v>
      </x:c>
      <x:c r="V82" s="46" t="str">
        <x:v>Optional</x:v>
      </x:c>
      <x:c r="W82" s="52" t="n">
        <x:v>3</x:v>
      </x:c>
      <x:c r="X82" s="46" t="str">
        <x:v>Item weights/count, wall type, preferred layout and name</x:v>
      </x:c>
      <x:c r="Y82" s="46" t="str">
        <x:v>Hook geometry, shelf size, mounting points, personalization</x:v>
      </x:c>
      <x:c r="Z82" s="46" t="str">
        <x:v>Static/dynamic load, edge check, fastener test</x:v>
      </x:c>
      <x:c r="AA82" s="46" t="str">
        <x:v>Storage only; never attach or restrain an animal to the product</x:v>
      </x:c>
      <x:c r="AB82" s="46" t="str">
        <x:v>GPSR + load/mounting validation</x:v>
      </x:c>
      <x:c r="AC82" s="52" t="n">
        <x:v>4</x:v>
      </x:c>
      <x:c r="AD82" s="46" t="str">
        <x:v>No</x:v>
      </x:c>
      <x:c r="AE82" s="46" t="str">
        <x:v>Potential</x:v>
      </x:c>
      <x:c r="AF82" s="46" t="str">
        <x:v>No</x:v>
      </x:c>
      <x:c r="AG82" s="46" t="str">
        <x:v>Yes—test</x:v>
      </x:c>
      <x:c r="AH82" s="46" t="str">
        <x:v>Local only</x:v>
      </x:c>
      <x:c r="AI82" s="46" t="str">
        <x:v>Own design; licensed fonts</x:v>
      </x:c>
      <x:c r="AJ82" s="46" t="str">
        <x:v>No—own design</x:v>
      </x:c>
      <x:c r="AK82" s="50" t="n">
        <x:v>14.9</x:v>
      </x:c>
      <x:c r="AL82" s="50" t="n">
        <x:f>'Unit Economics'!R82</x:f>
        <x:v>35.73171</x:v>
      </x:c>
      <x:c r="AM82" s="50" t="n">
        <x:f>'Unit Economics'!V82</x:f>
        <x:v>106.505</x:v>
      </x:c>
      <x:c r="AN82" s="54" t="n">
        <x:f>'Unit Economics'!Y82</x:f>
        <x:v>0.5507630167597766</x:v>
      </x:c>
      <x:c r="AO82" s="48" t="n">
        <x:f>ROUND(H82*Assumptions!$B$39+I82*20*Assumptions!$B$40+J82*20*Assumptions!$B$41+K82*20*Assumptions!$B$42+L82*20*Assumptions!$B$43+(6-AC82)*20*Assumptions!$B$44,1)</x:f>
        <x:v>80.7</x:v>
      </x:c>
      <x:c r="AP82" s="46" t="str">
        <x:f>IF(OR(AC82&gt;=4,AD82="Yes",AE82="Yes",AF82="Complete electrical"),"Specialist / Hold",IF(AND(AO82&gt;=92,AH82="Ready",AC82&lt;=2),"Wave 1",IF(AO82&gt;=82,"Wave 2","Wave 3")))</x:f>
        <x:v>Specialist / Hold</x:v>
      </x:c>
      <x:c r="AQ82" s="46" t="str">
        <x:v>S02; S05; S08; S11; S19</x:v>
      </x:c>
      <x:c r="AR82" s="46" t="str">
        <x:v>Backlog</x:v>
      </x:c>
      <x:c r="AS82" s="46" t="str">
        <x:v>Create explicit no-restraint warning and test load class</x:v>
      </x:c>
      <x:c r="AT82" s="46" t="str"/>
    </x:row>
    <x:row r="83" ht="42" customHeight="1">
      <x:c r="A83" s="46" t="str">
        <x:v>SKU-082</x:v>
      </x:c>
      <x:c r="B83" s="46" t="str">
        <x:v>Tool-specific holder generator</x:v>
      </x:c>
      <x:c r="C83" s="46" t="str">
        <x:v>Modular pegboard &amp; wall-storage ecosystems</x:v>
      </x:c>
      <x:c r="D83" s="46" t="n">
        <x:v>16</x:v>
      </x:c>
      <x:c r="E83" s="46" t="str">
        <x:v>Create a holder around a measured hand tool or craft tool.</x:v>
      </x:c>
      <x:c r="F83" s="46" t="str">
        <x:v>Makers, garages and studios</x:v>
      </x:c>
      <x:c r="G83" s="46" t="str">
        <x:v>Organization and hardware-storage demand combines with strong maker interest in modular wall systems.</x:v>
      </x:c>
      <x:c r="H83" s="52" t="n">
        <x:v>79</x:v>
      </x:c>
      <x:c r="I83" s="52" t="n">
        <x:v>5</x:v>
      </x:c>
      <x:c r="J83" s="52" t="n">
        <x:v>5</x:v>
      </x:c>
      <x:c r="K83" s="52" t="n">
        <x:v>4</x:v>
      </x:c>
      <x:c r="L83" s="52" t="n">
        <x:v>3</x:v>
      </x:c>
      <x:c r="M83" s="52" t="n">
        <x:v>205</x:v>
      </x:c>
      <x:c r="N83" s="52" t="n">
        <x:v>125</x:v>
      </x:c>
      <x:c r="O83" s="52" t="n">
        <x:v>105</x:v>
      </x:c>
      <x:c r="P83" s="46" t="str">
        <x:v>M</x:v>
      </x:c>
      <x:c r="Q83" s="46" t="str">
        <x:v>Holder + proprietary grid latch</x:v>
      </x:c>
      <x:c r="R83" s="46" t="str">
        <x:v>PETG</x:v>
      </x:c>
      <x:c r="S83" s="46" t="str">
        <x:v>Optional TPU pad</x:v>
      </x:c>
      <x:c r="T83" s="46" t="str">
        <x:v>Core 250 mm</x:v>
      </x:c>
      <x:c r="U83" s="46" t="str">
        <x:v>No</x:v>
      </x:c>
      <x:c r="V83" s="46" t="str">
        <x:v>Optional</x:v>
      </x:c>
      <x:c r="W83" s="52" t="n">
        <x:v>3</x:v>
      </x:c>
      <x:c r="X83" s="46" t="str">
        <x:v>Tool scan/dimensions, weight, insertion direction</x:v>
      </x:c>
      <x:c r="Y83" s="46" t="str">
        <x:v>Cradle shape, latch, retention lip, label</x:v>
      </x:c>
      <x:c r="Z83" s="46" t="str">
        <x:v>Fit, drop retention, proof load and cycle test</x:v>
      </x:c>
      <x:c r="AA83" s="46" t="str">
        <x:v>Non-safety-critical tools only; no sharp/hazardous tool placement over people</x:v>
      </x:c>
      <x:c r="AB83" s="46" t="str">
        <x:v>GPSR + tool-specific load validation</x:v>
      </x:c>
      <x:c r="AC83" s="52" t="n">
        <x:v>4</x:v>
      </x:c>
      <x:c r="AD83" s="46" t="str">
        <x:v>No</x:v>
      </x:c>
      <x:c r="AE83" s="46" t="str">
        <x:v>Potential</x:v>
      </x:c>
      <x:c r="AF83" s="46" t="str">
        <x:v>No</x:v>
      </x:c>
      <x:c r="AG83" s="46" t="str">
        <x:v>Yes—test</x:v>
      </x:c>
      <x:c r="AH83" s="46" t="str">
        <x:v>Local only</x:v>
      </x:c>
      <x:c r="AI83" s="46" t="str">
        <x:v>Own parametric ecosystem; customer tool data</x:v>
      </x:c>
      <x:c r="AJ83" s="46" t="str">
        <x:v>No—own design</x:v>
      </x:c>
      <x:c r="AK83" s="50" t="n">
        <x:v>13.9</x:v>
      </x:c>
      <x:c r="AL83" s="50" t="n">
        <x:f>'Unit Economics'!R83</x:f>
        <x:v>22.61616</x:v>
      </x:c>
      <x:c r="AM83" s="50" t="n">
        <x:f>'Unit Economics'!V83</x:f>
        <x:v>67.83</x:v>
      </x:c>
      <x:c r="AN83" s="54" t="n">
        <x:f>'Unit Economics'!Y83</x:f>
        <x:v>0.5532252631578947</x:v>
      </x:c>
      <x:c r="AO83" s="48" t="n">
        <x:f>ROUND(H83*Assumptions!$B$39+I83*20*Assumptions!$B$40+J83*20*Assumptions!$B$41+K83*20*Assumptions!$B$42+L83*20*Assumptions!$B$43+(6-AC83)*20*Assumptions!$B$44,1)</x:f>
        <x:v>80.7</x:v>
      </x:c>
      <x:c r="AP83" s="46" t="str">
        <x:f>IF(OR(AC83&gt;=4,AD83="Yes",AE83="Yes",AF83="Complete electrical"),"Specialist / Hold",IF(AND(AO83&gt;=92,AH83="Ready",AC83&lt;=2),"Wave 1",IF(AO83&gt;=82,"Wave 2","Wave 3")))</x:f>
        <x:v>Specialist / Hold</x:v>
      </x:c>
      <x:c r="AQ83" s="46" t="str">
        <x:v>S08; S09; S11; S19</x:v>
      </x:c>
      <x:c r="AR83" s="46" t="str">
        <x:v>Backlog</x:v>
      </x:c>
      <x:c r="AS83" s="46" t="str">
        <x:v>Develop photo/measurement holder workflow</x:v>
      </x:c>
      <x:c r="AT83" s="46" t="str"/>
    </x:row>
    <x:row r="84" ht="42" customHeight="1">
      <x:c r="A84" s="46" t="str">
        <x:v>SKU-083</x:v>
      </x:c>
      <x:c r="B84" s="46" t="str">
        <x:v>Mail-and-key entry shelf</x:v>
      </x:c>
      <x:c r="C84" s="46" t="str">
        <x:v>Wall hooks, key holders &amp; entry organizers</x:v>
      </x:c>
      <x:c r="D84" s="46" t="n">
        <x:v>5</x:v>
      </x:c>
      <x:c r="E84" s="46" t="str">
        <x:v>Combine incoming-mail storage with keys and small daily items.</x:v>
      </x:c>
      <x:c r="F84" s="46" t="str">
        <x:v>Households and home offices</x:v>
      </x:c>
      <x:c r="G84" s="46" t="str">
        <x:v>Personalized home organization and small-space storage remain broad consumer needs.</x:v>
      </x:c>
      <x:c r="H84" s="52" t="n">
        <x:v>88</x:v>
      </x:c>
      <x:c r="I84" s="52" t="n">
        <x:v>5</x:v>
      </x:c>
      <x:c r="J84" s="52" t="n">
        <x:v>5</x:v>
      </x:c>
      <x:c r="K84" s="52" t="n">
        <x:v>3</x:v>
      </x:c>
      <x:c r="L84" s="52" t="n">
        <x:v>3</x:v>
      </x:c>
      <x:c r="M84" s="52" t="n">
        <x:v>235</x:v>
      </x:c>
      <x:c r="N84" s="52" t="n">
        <x:v>130</x:v>
      </x:c>
      <x:c r="O84" s="52" t="n">
        <x:v>110</x:v>
      </x:c>
      <x:c r="P84" s="46" t="str">
        <x:v>M</x:v>
      </x:c>
      <x:c r="Q84" s="46" t="str">
        <x:v>Shelf body + hook rail</x:v>
      </x:c>
      <x:c r="R84" s="46" t="str">
        <x:v>PETG</x:v>
      </x:c>
      <x:c r="S84" s="46" t="str">
        <x:v>Certified fasteners</x:v>
      </x:c>
      <x:c r="T84" s="46" t="str">
        <x:v>Core 250 mm</x:v>
      </x:c>
      <x:c r="U84" s="46" t="str">
        <x:v>No</x:v>
      </x:c>
      <x:c r="V84" s="46" t="str">
        <x:v>Optional</x:v>
      </x:c>
      <x:c r="W84" s="52" t="n">
        <x:v>3</x:v>
      </x:c>
      <x:c r="X84" s="46" t="str">
        <x:v>Wall type, envelope sizes, item weights, width</x:v>
      </x:c>
      <x:c r="Y84" s="46" t="str">
        <x:v>Shelf depth, dividers, hook count, mounting points</x:v>
      </x:c>
      <x:c r="Z84" s="46" t="str">
        <x:v>Shelf deflection, pull test, sharp-edge and retention check</x:v>
      </x:c>
      <x:c r="AA84" s="46" t="str">
        <x:v>Light mail and keys only; publish maximum distributed load</x:v>
      </x:c>
      <x:c r="AB84" s="46" t="str">
        <x:v>GPSR + load/mounting validation</x:v>
      </x:c>
      <x:c r="AC84" s="52" t="n">
        <x:v>4</x:v>
      </x:c>
      <x:c r="AD84" s="46" t="str">
        <x:v>No</x:v>
      </x:c>
      <x:c r="AE84" s="46" t="str">
        <x:v>No</x:v>
      </x:c>
      <x:c r="AF84" s="46" t="str">
        <x:v>No</x:v>
      </x:c>
      <x:c r="AG84" s="46" t="str">
        <x:v>Yes—test</x:v>
      </x:c>
      <x:c r="AH84" s="46" t="str">
        <x:v>Local only</x:v>
      </x:c>
      <x:c r="AI84" s="46" t="str">
        <x:v>Own parametric CAD</x:v>
      </x:c>
      <x:c r="AJ84" s="46" t="str">
        <x:v>No—own design</x:v>
      </x:c>
      <x:c r="AK84" s="50" t="n">
        <x:v>14.9</x:v>
      </x:c>
      <x:c r="AL84" s="50" t="n">
        <x:f>'Unit Economics'!R84</x:f>
        <x:v>34.080619999999996</x:v>
      </x:c>
      <x:c r="AM84" s="50" t="n">
        <x:f>'Unit Economics'!V84</x:f>
        <x:v>101.74499999999999</x:v>
      </x:c>
      <x:c r="AN84" s="54" t="n">
        <x:f>'Unit Economics'!Y84</x:f>
        <x:v>0.5513962573099416</x:v>
      </x:c>
      <x:c r="AO84" s="48" t="n">
        <x:f>ROUND(H84*Assumptions!$B$39+I84*20*Assumptions!$B$40+J84*20*Assumptions!$B$41+K84*20*Assumptions!$B$42+L84*20*Assumptions!$B$43+(6-AC84)*20*Assumptions!$B$44,1)</x:f>
        <x:v>80.4</x:v>
      </x:c>
      <x:c r="AP84" s="46" t="str">
        <x:f>IF(OR(AC84&gt;=4,AD84="Yes",AE84="Yes",AF84="Complete electrical"),"Specialist / Hold",IF(AND(AO84&gt;=92,AH84="Ready",AC84&lt;=2),"Wave 1",IF(AO84&gt;=82,"Wave 2","Wave 3")))</x:f>
        <x:v>Specialist / Hold</x:v>
      </x:c>
      <x:c r="AQ84" s="46" t="str">
        <x:v>S02; S05; S08; S11; S19</x:v>
      </x:c>
      <x:c r="AR84" s="46" t="str">
        <x:v>Backlog</x:v>
      </x:c>
      <x:c r="AS84" s="46" t="str">
        <x:v>Reduce weight and validate mounting system</x:v>
      </x:c>
      <x:c r="AT84" s="46" t="str"/>
    </x:row>
    <x:row r="85" ht="42" customHeight="1">
      <x:c r="A85" s="46" t="str">
        <x:v>SKU-084</x:v>
      </x:c>
      <x:c r="B85" s="46" t="str">
        <x:v>Custom TPU phone bumper case</x:v>
      </x:c>
      <x:c r="C85" s="46" t="str">
        <x:v>Custom TPU cases, sleeves &amp; bumpers</x:v>
      </x:c>
      <x:c r="D85" s="46" t="n">
        <x:v>14</x:v>
      </x:c>
      <x:c r="E85" s="46" t="str">
        <x:v>Fit a flexible bumper around a specific phone and case-free geometry.</x:v>
      </x:c>
      <x:c r="F85" s="46" t="str">
        <x:v>Style-focused smartphone owners</x:v>
      </x:c>
      <x:c r="G85" s="46" t="str">
        <x:v>Etsy reports polka-dot phone-case searches up 835%, highlighting fashion-driven accessory demand.</x:v>
      </x:c>
      <x:c r="H85" s="52" t="n">
        <x:v>81</x:v>
      </x:c>
      <x:c r="I85" s="52" t="n">
        <x:v>5</x:v>
      </x:c>
      <x:c r="J85" s="52" t="n">
        <x:v>5</x:v>
      </x:c>
      <x:c r="K85" s="52" t="n">
        <x:v>3</x:v>
      </x:c>
      <x:c r="L85" s="52" t="n">
        <x:v>3</x:v>
      </x:c>
      <x:c r="M85" s="52" t="n">
        <x:v>185</x:v>
      </x:c>
      <x:c r="N85" s="52" t="n">
        <x:v>95</x:v>
      </x:c>
      <x:c r="O85" s="52" t="n">
        <x:v>22</x:v>
      </x:c>
      <x:c r="P85" s="46" t="str">
        <x:v>M</x:v>
      </x:c>
      <x:c r="Q85" s="46" t="str">
        <x:v>Single flexible shell</x:v>
      </x:c>
      <x:c r="R85" s="46" t="str">
        <x:v>TPU</x:v>
      </x:c>
      <x:c r="S85" s="46" t="str">
        <x:v>Optional rigid decorative insert</x:v>
      </x:c>
      <x:c r="T85" s="46" t="str">
        <x:v>Flexible-capable 250 mm</x:v>
      </x:c>
      <x:c r="U85" s="46" t="str">
        <x:v>No</x:v>
      </x:c>
      <x:c r="V85" s="46" t="str">
        <x:v>None</x:v>
      </x:c>
      <x:c r="W85" s="52" t="n">
        <x:v>4</x:v>
      </x:c>
      <x:c r="X85" s="46" t="str">
        <x:v>Exact phone model/scan, button/camera openings, texture</x:v>
      </x:c>
      <x:c r="Y85" s="46" t="str">
        <x:v>Wall thickness, corner geometry, button covers, pattern</x:v>
      </x:c>
      <x:c r="Z85" s="46" t="str">
        <x:v>Fit gauge, button operation, port clearance, controlled drop test if claims made</x:v>
      </x:c>
      <x:c r="AA85" s="46" t="str">
        <x:v>No certified drop/impact protection claim without model-specific testing</x:v>
      </x:c>
      <x:c r="AB85" s="46" t="str">
        <x:v>GPSR + flexible protective accessory validation</x:v>
      </x:c>
      <x:c r="AC85" s="52" t="n">
        <x:v>3</x:v>
      </x:c>
      <x:c r="AD85" s="46" t="str">
        <x:v>No</x:v>
      </x:c>
      <x:c r="AE85" s="46" t="str">
        <x:v>Potential</x:v>
      </x:c>
      <x:c r="AF85" s="46" t="str">
        <x:v>Accessory only</x:v>
      </x:c>
      <x:c r="AG85" s="46" t="str">
        <x:v>No</x:v>
      </x:c>
      <x:c r="AH85" s="46" t="str">
        <x:v>Guided</x:v>
      </x:c>
      <x:c r="AI85" s="46" t="str">
        <x:v>Own CAD; device compatibility wording</x:v>
      </x:c>
      <x:c r="AJ85" s="46" t="str">
        <x:v>No—own design</x:v>
      </x:c>
      <x:c r="AK85" s="50" t="n">
        <x:v>12.9</x:v>
      </x:c>
      <x:c r="AL85" s="50" t="n">
        <x:f>'Unit Economics'!R85</x:f>
        <x:v>11.99562</x:v>
      </x:c>
      <x:c r="AM85" s="50" t="n">
        <x:f>'Unit Economics'!V85</x:f>
        <x:v>35.699999999999996</x:v>
      </x:c>
      <x:c r="AN85" s="54" t="n">
        <x:f>'Unit Economics'!Y85</x:f>
        <x:v>0.5501459999999999</x:v>
      </x:c>
      <x:c r="AO85" s="48" t="n">
        <x:f>ROUND(H85*Assumptions!$B$39+I85*20*Assumptions!$B$40+J85*20*Assumptions!$B$41+K85*20*Assumptions!$B$42+L85*20*Assumptions!$B$43+(6-AC85)*20*Assumptions!$B$44,1)</x:f>
        <x:v>80.3</x:v>
      </x:c>
      <x:c r="AP85" s="46" t="str">
        <x:f>IF(OR(AC85&gt;=4,AD85="Yes",AE85="Yes",AF85="Complete electrical"),"Specialist / Hold",IF(AND(AO85&gt;=92,AH85="Ready",AC85&lt;=2),"Wave 1",IF(AO85&gt;=82,"Wave 2","Wave 3")))</x:f>
        <x:v>Wave 3</x:v>
      </x:c>
      <x:c r="AQ85" s="46" t="str">
        <x:v>S01; S11; S19; S30</x:v>
      </x:c>
      <x:c r="AR85" s="46" t="str">
        <x:v>Backlog</x:v>
      </x:c>
      <x:c r="AS85" s="46" t="str">
        <x:v>Build dimensional library and claim-free launch copy</x:v>
      </x:c>
      <x:c r="AT85" s="46" t="str"/>
    </x:row>
    <x:row r="86" ht="42" customHeight="1">
      <x:c r="A86" s="46" t="str">
        <x:v>SKU-085</x:v>
      </x:c>
      <x:c r="B86" s="46" t="str">
        <x:v>Kinetic balance desk sculpture</x:v>
      </x:c>
      <x:c r="C86" s="46" t="str">
        <x:v>Adult desk fidgets &amp; original collectibles</x:v>
      </x:c>
      <x:c r="D86" s="46" t="n">
        <x:v>20</x:v>
      </x:c>
      <x:c r="E86" s="46" t="str">
        <x:v>Create a moving decorative sculpture tuned for a specific footprint.</x:v>
      </x:c>
      <x:c r="F86" s="46" t="str">
        <x:v>Design-led offices and adult gifts</x:v>
      </x:c>
      <x:c r="G86" s="46" t="str">
        <x:v>Whimsy, charms and collectibility remain visible 2026 demand signals and active 3D-model categories.</x:v>
      </x:c>
      <x:c r="H86" s="52" t="n">
        <x:v>70</x:v>
      </x:c>
      <x:c r="I86" s="52" t="n">
        <x:v>5</x:v>
      </x:c>
      <x:c r="J86" s="52" t="n">
        <x:v>5</x:v>
      </x:c>
      <x:c r="K86" s="52" t="n">
        <x:v>4</x:v>
      </x:c>
      <x:c r="L86" s="52" t="n">
        <x:v>3</x:v>
      </x:c>
      <x:c r="M86" s="52" t="n">
        <x:v>185</x:v>
      </x:c>
      <x:c r="N86" s="52" t="n">
        <x:v>130</x:v>
      </x:c>
      <x:c r="O86" s="52" t="n">
        <x:v>225</x:v>
      </x:c>
      <x:c r="P86" s="46" t="str">
        <x:v>M</x:v>
      </x:c>
      <x:c r="Q86" s="46" t="str">
        <x:v>Base + balanced moving elements</x:v>
      </x:c>
      <x:c r="R86" s="46" t="str">
        <x:v>PLA</x:v>
      </x:c>
      <x:c r="S86" s="46" t="str">
        <x:v>Metal axle/weights if used</x:v>
      </x:c>
      <x:c r="T86" s="46" t="str">
        <x:v>Core 250 mm</x:v>
      </x:c>
      <x:c r="U86" s="46" t="str">
        <x:v>No</x:v>
      </x:c>
      <x:c r="V86" s="46" t="str">
        <x:v>Optional</x:v>
      </x:c>
      <x:c r="W86" s="52" t="n">
        <x:v>4</x:v>
      </x:c>
      <x:c r="X86" s="46" t="str">
        <x:v>Footprint, motion style, color, personalization</x:v>
      </x:c>
      <x:c r="Y86" s="46" t="str">
        <x:v>Arm lengths, pivots, balance weights, base</x:v>
      </x:c>
      <x:c r="Z86" s="46" t="str">
        <x:v>Tip, component retention, pinch and cycle test</x:v>
      </x:c>
      <x:c r="AA86" s="46" t="str">
        <x:v>Adult decorative desk object; keep away from young children</x:v>
      </x:c>
      <x:c r="AB86" s="46" t="str">
        <x:v>GPSR + moving-component/retention validation</x:v>
      </x:c>
      <x:c r="AC86" s="52" t="n">
        <x:v>3</x:v>
      </x:c>
      <x:c r="AD86" s="46" t="str">
        <x:v>No</x:v>
      </x:c>
      <x:c r="AE86" s="46" t="str">
        <x:v>Potential</x:v>
      </x:c>
      <x:c r="AF86" s="46" t="str">
        <x:v>No</x:v>
      </x:c>
      <x:c r="AG86" s="46" t="str">
        <x:v>No</x:v>
      </x:c>
      <x:c r="AH86" s="46" t="str">
        <x:v>Guided</x:v>
      </x:c>
      <x:c r="AI86" s="46" t="str">
        <x:v>Own original kinetic design</x:v>
      </x:c>
      <x:c r="AJ86" s="46" t="str">
        <x:v>No—own design</x:v>
      </x:c>
      <x:c r="AK86" s="50" t="n">
        <x:v>13.9</x:v>
      </x:c>
      <x:c r="AL86" s="50" t="n">
        <x:f>'Unit Economics'!R86</x:f>
        <x:v>20.306579999999997</x:v>
      </x:c>
      <x:c r="AM86" s="50" t="n">
        <x:f>'Unit Economics'!V86</x:f>
        <x:v>60.69</x:v>
      </x:c>
      <x:c r="AN86" s="54" t="n">
        <x:f>'Unit Economics'!Y86</x:f>
        <x:v>0.5518317647058824</x:v>
      </x:c>
      <x:c r="AO86" s="48" t="n">
        <x:f>ROUND(H86*Assumptions!$B$39+I86*20*Assumptions!$B$40+J86*20*Assumptions!$B$41+K86*20*Assumptions!$B$42+L86*20*Assumptions!$B$43+(6-AC86)*20*Assumptions!$B$44,1)</x:f>
        <x:v>80</x:v>
      </x:c>
      <x:c r="AP86" s="46" t="str">
        <x:f>IF(OR(AC86&gt;=4,AD86="Yes",AE86="Yes",AF86="Complete electrical"),"Specialist / Hold",IF(AND(AO86&gt;=92,AH86="Ready",AC86&lt;=2),"Wave 1",IF(AO86&gt;=82,"Wave 2","Wave 3")))</x:f>
        <x:v>Wave 3</x:v>
      </x:c>
      <x:c r="AQ86" s="46" t="str">
        <x:v>S01; S04; S11; S16; S18</x:v>
      </x:c>
      <x:c r="AR86" s="46" t="str">
        <x:v>Backlog</x:v>
      </x:c>
      <x:c r="AS86" s="46" t="str">
        <x:v>Design magnet-free captive mechanism</x:v>
      </x:c>
      <x:c r="AT86" s="46" t="str"/>
    </x:row>
    <x:row r="87" ht="42" customHeight="1">
      <x:c r="A87" s="46" t="str">
        <x:v>SKU-086</x:v>
      </x:c>
      <x:c r="B87" s="46" t="str">
        <x:v>Wall propagation-tube display</x:v>
      </x:c>
      <x:c r="C87" s="46" t="str">
        <x:v>Vases &amp; sculptural containers</x:v>
      </x:c>
      <x:c r="D87" s="46" t="n">
        <x:v>8</x:v>
      </x:c>
      <x:c r="E87" s="46" t="str">
        <x:v>Display plant cuttings in removable glass tubes mounted to a wall.</x:v>
      </x:c>
      <x:c r="F87" s="46" t="str">
        <x:v>Plant and decor enthusiasts</x:v>
      </x:c>
      <x:c r="G87" s="46" t="str">
        <x:v>2026 decor signals favor sculptural silhouettes, visible texture and personalized interiors.</x:v>
      </x:c>
      <x:c r="H87" s="52" t="n">
        <x:v>86</x:v>
      </x:c>
      <x:c r="I87" s="52" t="n">
        <x:v>5</x:v>
      </x:c>
      <x:c r="J87" s="52" t="n">
        <x:v>5</x:v>
      </x:c>
      <x:c r="K87" s="52" t="n">
        <x:v>3</x:v>
      </x:c>
      <x:c r="L87" s="52" t="n">
        <x:v>3</x:v>
      </x:c>
      <x:c r="M87" s="52" t="n">
        <x:v>235</x:v>
      </x:c>
      <x:c r="N87" s="52" t="n">
        <x:v>85</x:v>
      </x:c>
      <x:c r="O87" s="52" t="n">
        <x:v>190</x:v>
      </x:c>
      <x:c r="P87" s="46" t="str">
        <x:v>M</x:v>
      </x:c>
      <x:c r="Q87" s="46" t="str">
        <x:v>Backplate + tube clips + glass tubes</x:v>
      </x:c>
      <x:c r="R87" s="46" t="str">
        <x:v>PETG</x:v>
      </x:c>
      <x:c r="S87" s="46" t="str">
        <x:v>Glass tubes and certified fasteners</x:v>
      </x:c>
      <x:c r="T87" s="46" t="str">
        <x:v>Core 250 mm</x:v>
      </x:c>
      <x:c r="U87" s="46" t="str">
        <x:v>No</x:v>
      </x:c>
      <x:c r="V87" s="46" t="str">
        <x:v>None</x:v>
      </x:c>
      <x:c r="W87" s="52" t="n">
        <x:v>3</x:v>
      </x:c>
      <x:c r="X87" s="46" t="str">
        <x:v>Tube size/count, wall type, layout and water volume</x:v>
      </x:c>
      <x:c r="Y87" s="46" t="str">
        <x:v>Clip geometry, spacing, mounting holes, drip lip</x:v>
      </x:c>
      <x:c r="Z87" s="46" t="str">
        <x:v>Tube retention, pull test, spill path and wall clearance</x:v>
      </x:c>
      <x:c r="AA87" s="46" t="str">
        <x:v>Do not mount over electronics/valuable surfaces; approved fasteners only</x:v>
      </x:c>
      <x:c r="AB87" s="46" t="str">
        <x:v>GPSR + mounting/component retention validation</x:v>
      </x:c>
      <x:c r="AC87" s="52" t="n">
        <x:v>4</x:v>
      </x:c>
      <x:c r="AD87" s="46" t="str">
        <x:v>No</x:v>
      </x:c>
      <x:c r="AE87" s="46" t="str">
        <x:v>No</x:v>
      </x:c>
      <x:c r="AF87" s="46" t="str">
        <x:v>No</x:v>
      </x:c>
      <x:c r="AG87" s="46" t="str">
        <x:v>Yes—test</x:v>
      </x:c>
      <x:c r="AH87" s="46" t="str">
        <x:v>Local only</x:v>
      </x:c>
      <x:c r="AI87" s="46" t="str">
        <x:v>Own CAD; standard tube specification</x:v>
      </x:c>
      <x:c r="AJ87" s="46" t="str">
        <x:v>No—own design</x:v>
      </x:c>
      <x:c r="AK87" s="50" t="n">
        <x:v>13.9</x:v>
      </x:c>
      <x:c r="AL87" s="50" t="n">
        <x:f>'Unit Economics'!R87</x:f>
        <x:v>26.76597</x:v>
      </x:c>
      <x:c r="AM87" s="50" t="n">
        <x:f>'Unit Economics'!V87</x:f>
        <x:v>79.72999999999999</x:v>
      </x:c>
      <x:c r="AN87" s="54" t="n">
        <x:f>'Unit Economics'!Y87</x:f>
        <x:v>0.5505079104477613</x:v>
      </x:c>
      <x:c r="AO87" s="48" t="n">
        <x:f>ROUND(H87*Assumptions!$B$39+I87*20*Assumptions!$B$40+J87*20*Assumptions!$B$41+K87*20*Assumptions!$B$42+L87*20*Assumptions!$B$43+(6-AC87)*20*Assumptions!$B$44,1)</x:f>
        <x:v>79.8</x:v>
      </x:c>
      <x:c r="AP87" s="46" t="str">
        <x:f>IF(OR(AC87&gt;=4,AD87="Yes",AE87="Yes",AF87="Complete electrical"),"Specialist / Hold",IF(AND(AO87&gt;=92,AH87="Ready",AC87&lt;=2),"Wave 1",IF(AO87&gt;=82,"Wave 2","Wave 3")))</x:f>
        <x:v>Specialist / Hold</x:v>
      </x:c>
      <x:c r="AQ87" s="46" t="str">
        <x:v>S02; S03; S11; S19</x:v>
      </x:c>
      <x:c r="AR87" s="46" t="str">
        <x:v>Backlog</x:v>
      </x:c>
      <x:c r="AS87" s="46" t="str">
        <x:v>Validate tube clip fatigue and mounting options</x:v>
      </x:c>
      <x:c r="AT87" s="46" t="str"/>
    </x:row>
    <x:row r="88" ht="42" customHeight="1">
      <x:c r="A88" s="46" t="str">
        <x:v>SKU-087</x:v>
      </x:c>
      <x:c r="B88" s="46" t="str">
        <x:v>Handheld-console ergonomic grip shell</x:v>
      </x:c>
      <x:c r="C88" s="46" t="str">
        <x:v>Custom TPU cases, sleeves &amp; bumpers</x:v>
      </x:c>
      <x:c r="D88" s="46" t="n">
        <x:v>14</x:v>
      </x:c>
      <x:c r="E88" s="46" t="str">
        <x:v>Add customized hand grips without modifying the console electronics.</x:v>
      </x:c>
      <x:c r="F88" s="46" t="str">
        <x:v>Adult handheld-gaming users</x:v>
      </x:c>
      <x:c r="G88" s="46" t="str">
        <x:v>Etsy reports polka-dot phone-case searches up 835%, highlighting fashion-driven accessory demand.</x:v>
      </x:c>
      <x:c r="H88" s="52" t="n">
        <x:v>79</x:v>
      </x:c>
      <x:c r="I88" s="52" t="n">
        <x:v>5</x:v>
      </x:c>
      <x:c r="J88" s="52" t="n">
        <x:v>5</x:v>
      </x:c>
      <x:c r="K88" s="52" t="n">
        <x:v>3</x:v>
      </x:c>
      <x:c r="L88" s="52" t="n">
        <x:v>3</x:v>
      </x:c>
      <x:c r="M88" s="52" t="n">
        <x:v>240</x:v>
      </x:c>
      <x:c r="N88" s="52" t="n">
        <x:v>125</x:v>
      </x:c>
      <x:c r="O88" s="52" t="n">
        <x:v>50</x:v>
      </x:c>
      <x:c r="P88" s="46" t="str">
        <x:v>M</x:v>
      </x:c>
      <x:c r="Q88" s="46" t="str">
        <x:v>Rigid frame + TPU grips</x:v>
      </x:c>
      <x:c r="R88" s="46" t="str">
        <x:v>PETG</x:v>
      </x:c>
      <x:c r="S88" s="46" t="str">
        <x:v>TPU grip inserts</x:v>
      </x:c>
      <x:c r="T88" s="46" t="str">
        <x:v>Core 250 mm</x:v>
      </x:c>
      <x:c r="U88" s="46" t="str">
        <x:v>No</x:v>
      </x:c>
      <x:c r="V88" s="46" t="str">
        <x:v>Optional</x:v>
      </x:c>
      <x:c r="W88" s="52" t="n">
        <x:v>4</x:v>
      </x:c>
      <x:c r="X88" s="46" t="str">
        <x:v>Console model, hand size, port/vent layout, grip preference</x:v>
      </x:c>
      <x:c r="Y88" s="46" t="str">
        <x:v>Cradle fit, grip angle, openings, insert geometry</x:v>
      </x:c>
      <x:c r="Z88" s="46" t="str">
        <x:v>Fit, vent/port clearance, grip load, removal cycles</x:v>
      </x:c>
      <x:c r="AA88" s="46" t="str">
        <x:v>Accessory only; no impact protection; adult gaming use</x:v>
      </x:c>
      <x:c r="AB88" s="46" t="str">
        <x:v>GPSR + ergonomic accessory fit validation</x:v>
      </x:c>
      <x:c r="AC88" s="52" t="n">
        <x:v>3</x:v>
      </x:c>
      <x:c r="AD88" s="46" t="str">
        <x:v>No</x:v>
      </x:c>
      <x:c r="AE88" s="46" t="str">
        <x:v>Potential</x:v>
      </x:c>
      <x:c r="AF88" s="46" t="str">
        <x:v>Accessory only</x:v>
      </x:c>
      <x:c r="AG88" s="46" t="str">
        <x:v>Light duty</x:v>
      </x:c>
      <x:c r="AH88" s="46" t="str">
        <x:v>Local only</x:v>
      </x:c>
      <x:c r="AI88" s="46" t="str">
        <x:v>Own CAD; compatibility wording</x:v>
      </x:c>
      <x:c r="AJ88" s="46" t="str">
        <x:v>No—own design</x:v>
      </x:c>
      <x:c r="AK88" s="50" t="n">
        <x:v>14.9</x:v>
      </x:c>
      <x:c r="AL88" s="50" t="n">
        <x:f>'Unit Economics'!R88</x:f>
        <x:v>27.824019999999997</x:v>
      </x:c>
      <x:c r="AM88" s="50" t="n">
        <x:f>'Unit Economics'!V88</x:f>
        <x:v>83.3</x:v>
      </x:c>
      <x:c r="AN88" s="54" t="n">
        <x:f>'Unit Economics'!Y88</x:f>
        <x:v>0.5525140000000001</x:v>
      </x:c>
      <x:c r="AO88" s="48" t="n">
        <x:f>ROUND(H88*Assumptions!$B$39+I88*20*Assumptions!$B$40+J88*20*Assumptions!$B$41+K88*20*Assumptions!$B$42+L88*20*Assumptions!$B$43+(6-AC88)*20*Assumptions!$B$44,1)</x:f>
        <x:v>79.7</x:v>
      </x:c>
      <x:c r="AP88" s="46" t="str">
        <x:f>IF(OR(AC88&gt;=4,AD88="Yes",AE88="Yes",AF88="Complete electrical"),"Specialist / Hold",IF(AND(AO88&gt;=92,AH88="Ready",AC88&lt;=2),"Wave 1",IF(AO88&gt;=82,"Wave 2","Wave 3")))</x:f>
        <x:v>Wave 3</x:v>
      </x:c>
      <x:c r="AQ88" s="46" t="str">
        <x:v>S01; S11; S19; S30</x:v>
      </x:c>
      <x:c r="AR88" s="46" t="str">
        <x:v>Backlog</x:v>
      </x:c>
      <x:c r="AS88" s="46" t="str">
        <x:v>Run fit and ergonomic pilot with multiple hand sizes</x:v>
      </x:c>
      <x:c r="AT88" s="46" t="str"/>
    </x:row>
    <x:row r="89" ht="42" customHeight="1">
      <x:c r="A89" s="46" t="str">
        <x:v>SKU-088</x:v>
      </x:c>
      <x:c r="B89" s="46" t="str">
        <x:v>Drawer-handle replacement</x:v>
      </x:c>
      <x:c r="C89" s="46" t="str">
        <x:v>Non-safety-critical replacement parts</x:v>
      </x:c>
      <x:c r="D89" s="46" t="n">
        <x:v>19</x:v>
      </x:c>
      <x:c r="E89" s="46" t="str">
        <x:v>Replace a broken handle using existing hole spacing and desired grip geometry.</x:v>
      </x:c>
      <x:c r="F89" s="46" t="str">
        <x:v>Furniture owners, landlords and repair cafes</x:v>
      </x:c>
      <x:c r="G89" s="46" t="str">
        <x:v>EU right-to-repair rules apply from 31 July 2026 and explicitly support compatible, lawful repair pathways.</x:v>
      </x:c>
      <x:c r="H89" s="52" t="n">
        <x:v>76</x:v>
      </x:c>
      <x:c r="I89" s="52" t="n">
        <x:v>5</x:v>
      </x:c>
      <x:c r="J89" s="52" t="n">
        <x:v>5</x:v>
      </x:c>
      <x:c r="K89" s="52" t="n">
        <x:v>3</x:v>
      </x:c>
      <x:c r="L89" s="52" t="n">
        <x:v>4</x:v>
      </x:c>
      <x:c r="M89" s="52" t="n">
        <x:v>205</x:v>
      </x:c>
      <x:c r="N89" s="52" t="n">
        <x:v>40</x:v>
      </x:c>
      <x:c r="O89" s="52" t="n">
        <x:v>35</x:v>
      </x:c>
      <x:c r="P89" s="46" t="str">
        <x:v>M</x:v>
      </x:c>
      <x:c r="Q89" s="46" t="str">
        <x:v>Handle + optional metal threaded inserts</x:v>
      </x:c>
      <x:c r="R89" s="46" t="str">
        <x:v>PETG</x:v>
      </x:c>
      <x:c r="S89" s="46" t="str">
        <x:v>Metal threaded inserts/screws</x:v>
      </x:c>
      <x:c r="T89" s="46" t="str">
        <x:v>Core 250 mm</x:v>
      </x:c>
      <x:c r="U89" s="46" t="str">
        <x:v>No</x:v>
      </x:c>
      <x:c r="V89" s="46" t="str">
        <x:v>None</x:v>
      </x:c>
      <x:c r="W89" s="52" t="n">
        <x:v>3</x:v>
      </x:c>
      <x:c r="X89" s="46" t="str">
        <x:v>Hole spacing, screw size, drawer load, grip size and photos</x:v>
      </x:c>
      <x:c r="Y89" s="46" t="str">
        <x:v>Hole spacing, grip arc, ribs, insert seats</x:v>
      </x:c>
      <x:c r="Z89" s="46" t="str">
        <x:v>Proof pull, repeated cycles, insert retention and edge check</x:v>
      </x:c>
      <x:c r="AA89" s="46" t="str">
        <x:v>Furniture drawer/cabinet use only; not doors, grab bars or body support</x:v>
      </x:c>
      <x:c r="AB89" s="46" t="str">
        <x:v>GPSR + replacement-part load validation</x:v>
      </x:c>
      <x:c r="AC89" s="52" t="n">
        <x:v>4</x:v>
      </x:c>
      <x:c r="AD89" s="46" t="str">
        <x:v>No</x:v>
      </x:c>
      <x:c r="AE89" s="46" t="str">
        <x:v>No</x:v>
      </x:c>
      <x:c r="AF89" s="46" t="str">
        <x:v>No</x:v>
      </x:c>
      <x:c r="AG89" s="46" t="str">
        <x:v>Yes—test</x:v>
      </x:c>
      <x:c r="AH89" s="46" t="str">
        <x:v>Local only</x:v>
      </x:c>
      <x:c r="AI89" s="46" t="str">
        <x:v>Own measured design; IP review</x:v>
      </x:c>
      <x:c r="AJ89" s="46" t="str">
        <x:v>Case-by-case rights review</x:v>
      </x:c>
      <x:c r="AK89" s="50" t="n">
        <x:v>12.9</x:v>
      </x:c>
      <x:c r="AL89" s="50" t="n">
        <x:f>'Unit Economics'!R89</x:f>
        <x:v>15.90981</x:v>
      </x:c>
      <x:c r="AM89" s="50" t="n">
        <x:f>'Unit Economics'!V89</x:f>
        <x:v>47.599999999999994</x:v>
      </x:c>
      <x:c r="AN89" s="54" t="n">
        <x:f>'Unit Economics'!Y89</x:f>
        <x:v>0.55225475</x:v>
      </x:c>
      <x:c r="AO89" s="48" t="n">
        <x:f>ROUND(H89*Assumptions!$B$39+I89*20*Assumptions!$B$40+J89*20*Assumptions!$B$41+K89*20*Assumptions!$B$42+L89*20*Assumptions!$B$43+(6-AC89)*20*Assumptions!$B$44,1)</x:f>
        <x:v>78.8</x:v>
      </x:c>
      <x:c r="AP89" s="46" t="str">
        <x:f>IF(OR(AC89&gt;=4,AD89="Yes",AE89="Yes",AF89="Complete electrical"),"Specialist / Hold",IF(AND(AO89&gt;=92,AH89="Ready",AC89&lt;=2),"Wave 1",IF(AO89&gt;=82,"Wave 2","Wave 3")))</x:f>
        <x:v>Specialist / Hold</x:v>
      </x:c>
      <x:c r="AQ89" s="46" t="str">
        <x:v>S10; S11; S16; S25; S29; S10; S29</x:v>
      </x:c>
      <x:c r="AR89" s="46" t="str">
        <x:v>Backlog</x:v>
      </x:c>
      <x:c r="AS89" s="46" t="str">
        <x:v>Define tested pull-load classes and insert process</x:v>
      </x:c>
      <x:c r="AT89" s="46" t="str"/>
    </x:row>
    <x:row r="90" ht="42" customHeight="1">
      <x:c r="A90" s="46" t="str">
        <x:v>SKU-089</x:v>
      </x:c>
      <x:c r="B90" s="46" t="str">
        <x:v>Hair-tool attachment and cable organizer</x:v>
      </x:c>
      <x:c r="C90" s="46" t="str">
        <x:v>Bathroom &amp; shower organizers</x:v>
      </x:c>
      <x:c r="D90" s="46" t="n">
        <x:v>13</x:v>
      </x:c>
      <x:c r="E90" s="46" t="str">
        <x:v>Store dry, cool hair-tool attachments and cables on a wall or cabinet.</x:v>
      </x:c>
      <x:c r="F90" s="46" t="str">
        <x:v>Beauty and bathroom users</x:v>
      </x:c>
      <x:c r="G90" s="46" t="str">
        <x:v>July 2026 marketplace analytics show strong bathroom-organization demand and concentrated price bands.</x:v>
      </x:c>
      <x:c r="H90" s="52" t="n">
        <x:v>80</x:v>
      </x:c>
      <x:c r="I90" s="52" t="n">
        <x:v>5</x:v>
      </x:c>
      <x:c r="J90" s="52" t="n">
        <x:v>5</x:v>
      </x:c>
      <x:c r="K90" s="52" t="n">
        <x:v>3</x:v>
      </x:c>
      <x:c r="L90" s="52" t="n">
        <x:v>3</x:v>
      </x:c>
      <x:c r="M90" s="52" t="n">
        <x:v>235</x:v>
      </x:c>
      <x:c r="N90" s="52" t="n">
        <x:v>110</x:v>
      </x:c>
      <x:c r="O90" s="52" t="n">
        <x:v>125</x:v>
      </x:c>
      <x:c r="P90" s="46" t="str">
        <x:v>M</x:v>
      </x:c>
      <x:c r="Q90" s="46" t="str">
        <x:v>Backplate + clips and cups</x:v>
      </x:c>
      <x:c r="R90" s="46" t="str">
        <x:v>PETG</x:v>
      </x:c>
      <x:c r="S90" s="46" t="str">
        <x:v>Certified fasteners</x:v>
      </x:c>
      <x:c r="T90" s="46" t="str">
        <x:v>Core 250 mm</x:v>
      </x:c>
      <x:c r="U90" s="46" t="str">
        <x:v>No</x:v>
      </x:c>
      <x:c r="V90" s="46" t="str">
        <x:v>Optional</x:v>
      </x:c>
      <x:c r="W90" s="52" t="n">
        <x:v>3</x:v>
      </x:c>
      <x:c r="X90" s="46" t="str">
        <x:v>Tool/attachment dimensions, wall type, cord size</x:v>
      </x:c>
      <x:c r="Y90" s="46" t="str">
        <x:v>Clips, cups, cable loops, mounting points</x:v>
      </x:c>
      <x:c r="Z90" s="46" t="str">
        <x:v>Fit, pull test, cable pinch and temperature-use warning review</x:v>
      </x:c>
      <x:c r="AA90" s="46" t="str">
        <x:v>Store only after tools are unplugged and cool; not a hot-tool rest</x:v>
      </x:c>
      <x:c r="AB90" s="46" t="str">
        <x:v>GPSR + mounting and misuse-risk validation</x:v>
      </x:c>
      <x:c r="AC90" s="52" t="n">
        <x:v>4</x:v>
      </x:c>
      <x:c r="AD90" s="46" t="str">
        <x:v>No</x:v>
      </x:c>
      <x:c r="AE90" s="46" t="str">
        <x:v>No</x:v>
      </x:c>
      <x:c r="AF90" s="46" t="str">
        <x:v>Accessory only</x:v>
      </x:c>
      <x:c r="AG90" s="46" t="str">
        <x:v>Yes—test</x:v>
      </x:c>
      <x:c r="AH90" s="46" t="str">
        <x:v>Local only</x:v>
      </x:c>
      <x:c r="AI90" s="46" t="str">
        <x:v>Own parametric CAD; compatibility wording</x:v>
      </x:c>
      <x:c r="AJ90" s="46" t="str">
        <x:v>No—own design</x:v>
      </x:c>
      <x:c r="AK90" s="50" t="n">
        <x:v>13.9</x:v>
      </x:c>
      <x:c r="AL90" s="50" t="n">
        <x:f>'Unit Economics'!R90</x:f>
        <x:v>29.32174</x:v>
      </x:c>
      <x:c r="AM90" s="50" t="n">
        <x:f>'Unit Economics'!V90</x:f>
        <x:v>87.46499999999999</x:v>
      </x:c>
      <x:c r="AN90" s="54" t="n">
        <x:f>'Unit Economics'!Y90</x:f>
        <x:v>0.551064761904762</x:v>
      </x:c>
      <x:c r="AO90" s="48" t="n">
        <x:f>ROUND(H90*Assumptions!$B$39+I90*20*Assumptions!$B$40+J90*20*Assumptions!$B$41+K90*20*Assumptions!$B$42+L90*20*Assumptions!$B$43+(6-AC90)*20*Assumptions!$B$44,1)</x:f>
        <x:v>78</x:v>
      </x:c>
      <x:c r="AP90" s="46" t="str">
        <x:f>IF(OR(AC90&gt;=4,AD90="Yes",AE90="Yes",AF90="Complete electrical"),"Specialist / Hold",IF(AND(AO90&gt;=92,AH90="Ready",AC90&lt;=2),"Wave 1",IF(AO90&gt;=82,"Wave 2","Wave 3")))</x:f>
        <x:v>Specialist / Hold</x:v>
      </x:c>
      <x:c r="AQ90" s="46" t="str">
        <x:v>S07; S11; S19</x:v>
      </x:c>
      <x:c r="AR90" s="46" t="str">
        <x:v>Backlog</x:v>
      </x:c>
      <x:c r="AS90" s="46" t="str">
        <x:v>Define cool-down warning and approved mounting</x:v>
      </x:c>
      <x:c r="AT90" s="46" t="str"/>
    </x:row>
    <x:row r="91" ht="42" customHeight="1">
      <x:c r="A91" s="46" t="str">
        <x:v>SKU-090</x:v>
      </x:c>
      <x:c r="B91" s="46" t="str">
        <x:v>Proprietary 20 mm-grid pegboard starter panel</x:v>
      </x:c>
      <x:c r="C91" s="46" t="str">
        <x:v>Modular pegboard &amp; wall-storage ecosystems</x:v>
      </x:c>
      <x:c r="D91" s="46" t="n">
        <x:v>16</x:v>
      </x:c>
      <x:c r="E91" s="46" t="str">
        <x:v>Create a modular wall-storage base that can expand with custom accessories.</x:v>
      </x:c>
      <x:c r="F91" s="46" t="str">
        <x:v>Makers, craft rooms and home offices</x:v>
      </x:c>
      <x:c r="G91" s="46" t="str">
        <x:v>Organization and hardware-storage demand combines with strong maker interest in modular wall systems.</x:v>
      </x:c>
      <x:c r="H91" s="52" t="n">
        <x:v>79</x:v>
      </x:c>
      <x:c r="I91" s="52" t="n">
        <x:v>5</x:v>
      </x:c>
      <x:c r="J91" s="52" t="n">
        <x:v>5</x:v>
      </x:c>
      <x:c r="K91" s="52" t="n">
        <x:v>3</x:v>
      </x:c>
      <x:c r="L91" s="52" t="n">
        <x:v>3</x:v>
      </x:c>
      <x:c r="M91" s="52" t="n">
        <x:v>235</x:v>
      </x:c>
      <x:c r="N91" s="52" t="n">
        <x:v>235</x:v>
      </x:c>
      <x:c r="O91" s="52" t="n">
        <x:v>18</x:v>
      </x:c>
      <x:c r="P91" s="46" t="str">
        <x:v>M</x:v>
      </x:c>
      <x:c r="Q91" s="46" t="str">
        <x:v>Interlocking panels + mounting spacers</x:v>
      </x:c>
      <x:c r="R91" s="46" t="str">
        <x:v>PETG</x:v>
      </x:c>
      <x:c r="S91" s="46" t="str">
        <x:v>Certified fasteners</x:v>
      </x:c>
      <x:c r="T91" s="46" t="str">
        <x:v>Core 250 mm</x:v>
      </x:c>
      <x:c r="U91" s="46" t="str">
        <x:v>No</x:v>
      </x:c>
      <x:c r="V91" s="46" t="str">
        <x:v>None</x:v>
      </x:c>
      <x:c r="W91" s="52" t="n">
        <x:v>3</x:v>
      </x:c>
      <x:c r="X91" s="46" t="str">
        <x:v>Wall area/type, panel count, expected loads</x:v>
      </x:c>
      <x:c r="Y91" s="46" t="str">
        <x:v>Grid pitch, edge locks, mounting holes, color pattern</x:v>
      </x:c>
      <x:c r="Z91" s="46" t="str">
        <x:v>Panel pull/deflection, joint and fastener tests</x:v>
      </x:c>
      <x:c r="AA91" s="46" t="str">
        <x:v>Use only approved accessories and published panel/load classes</x:v>
      </x:c>
      <x:c r="AB91" s="46" t="str">
        <x:v>GPSR + wall-system load validation</x:v>
      </x:c>
      <x:c r="AC91" s="52" t="n">
        <x:v>4</x:v>
      </x:c>
      <x:c r="AD91" s="46" t="str">
        <x:v>No</x:v>
      </x:c>
      <x:c r="AE91" s="46" t="str">
        <x:v>Potential</x:v>
      </x:c>
      <x:c r="AF91" s="46" t="str">
        <x:v>No</x:v>
      </x:c>
      <x:c r="AG91" s="46" t="str">
        <x:v>Yes—test</x:v>
      </x:c>
      <x:c r="AH91" s="46" t="str">
        <x:v>Local only</x:v>
      </x:c>
      <x:c r="AI91" s="46" t="str">
        <x:v>Own proprietary interface; documented compatibility</x:v>
      </x:c>
      <x:c r="AJ91" s="46" t="str">
        <x:v>No—own design</x:v>
      </x:c>
      <x:c r="AK91" s="50" t="n">
        <x:v>14.9</x:v>
      </x:c>
      <x:c r="AL91" s="50" t="n">
        <x:f>'Unit Economics'!R91</x:f>
        <x:v>29.852829999999997</x:v>
      </x:c>
      <x:c r="AM91" s="50" t="n">
        <x:f>'Unit Economics'!V91</x:f>
        <x:v>89.25</x:v>
      </x:c>
      <x:c r="AN91" s="54" t="n">
        <x:f>'Unit Economics'!Y91</x:f>
        <x:v>0.5519622666666667</x:v>
      </x:c>
      <x:c r="AO91" s="48" t="n">
        <x:f>ROUND(H91*Assumptions!$B$39+I91*20*Assumptions!$B$40+J91*20*Assumptions!$B$41+K91*20*Assumptions!$B$42+L91*20*Assumptions!$B$43+(6-AC91)*20*Assumptions!$B$44,1)</x:f>
        <x:v>77.7</x:v>
      </x:c>
      <x:c r="AP91" s="46" t="str">
        <x:f>IF(OR(AC91&gt;=4,AD91="Yes",AE91="Yes",AF91="Complete electrical"),"Specialist / Hold",IF(AND(AO91&gt;=92,AH91="Ready",AC91&lt;=2),"Wave 1",IF(AO91&gt;=82,"Wave 2","Wave 3")))</x:f>
        <x:v>Specialist / Hold</x:v>
      </x:c>
      <x:c r="AQ91" s="46" t="str">
        <x:v>S08; S09; S11; S19</x:v>
      </x:c>
      <x:c r="AR91" s="46" t="str">
        <x:v>Backlog</x:v>
      </x:c>
      <x:c r="AS91" s="46" t="str">
        <x:v>Freeze interface spec and run panel load test</x:v>
      </x:c>
      <x:c r="AT91" s="46" t="str"/>
    </x:row>
    <x:row r="92" ht="42" customHeight="1">
      <x:c r="A92" s="46" t="str">
        <x:v>SKU-091</x:v>
      </x:c>
      <x:c r="B92" s="46" t="str">
        <x:v>Large custom architectural cachepot</x:v>
      </x:c>
      <x:c r="C92" s="46" t="str">
        <x:v>Planters &amp; self-watering planters</x:v>
      </x:c>
      <x:c r="D92" s="46" t="n">
        <x:v>7</x:v>
      </x:c>
      <x:c r="E92" s="46" t="str">
        <x:v>Fill an awkward interior or terrace footprint with a made-to-measure decorative pot.</x:v>
      </x:c>
      <x:c r="F92" s="46" t="str">
        <x:v>Interior designers and premium plant owners</x:v>
      </x:c>
      <x:c r="G92" s="46" t="str">
        <x:v>Nature-aligned interiors, tactile surfaces and sculptural decor support customizable planter demand.</x:v>
      </x:c>
      <x:c r="H92" s="52" t="n">
        <x:v>88</x:v>
      </x:c>
      <x:c r="I92" s="52" t="n">
        <x:v>5</x:v>
      </x:c>
      <x:c r="J92" s="52" t="n">
        <x:v>5</x:v>
      </x:c>
      <x:c r="K92" s="52" t="n">
        <x:v>2</x:v>
      </x:c>
      <x:c r="L92" s="52" t="n">
        <x:v>2</x:v>
      </x:c>
      <x:c r="M92" s="52" t="n">
        <x:v>390</x:v>
      </x:c>
      <x:c r="N92" s="52" t="n">
        <x:v>390</x:v>
      </x:c>
      <x:c r="O92" s="52" t="n">
        <x:v>450</x:v>
      </x:c>
      <x:c r="P92" s="46" t="str">
        <x:v>L</x:v>
      </x:c>
      <x:c r="Q92" s="46" t="str">
        <x:v>Single large shell or segmented shell with liner</x:v>
      </x:c>
      <x:c r="R92" s="46" t="str">
        <x:v>ASA</x:v>
      </x:c>
      <x:c r="S92" s="46" t="str">
        <x:v>Separate watertight liner</x:v>
      </x:c>
      <x:c r="T92" s="46" t="str">
        <x:v>Large 420 mm / enclosed preferred</x:v>
      </x:c>
      <x:c r="U92" s="46" t="str">
        <x:v>Preferred</x:v>
      </x:c>
      <x:c r="V92" s="46" t="str">
        <x:v>Optional</x:v>
      </x:c>
      <x:c r="W92" s="52" t="n">
        <x:v>4</x:v>
      </x:c>
      <x:c r="X92" s="46" t="str">
        <x:v>Exact footprint/height, plant pot size, indoor/outdoor, style</x:v>
      </x:c>
      <x:c r="Y92" s="46" t="str">
        <x:v>Taper, wall ribs, drainage/liner seat, texture</x:v>
      </x:c>
      <x:c r="Z92" s="46" t="str">
        <x:v>Warp/dimensional check, tip stability, UV/material confirmation</x:v>
      </x:c>
      <x:c r="AA92" s="46" t="str">
        <x:v>Use separate liner; no guaranteed watertight printed shell; secure outdoors</x:v>
      </x:c>
      <x:c r="AB92" s="46" t="str">
        <x:v>GPSR + outdoor/stability validation</x:v>
      </x:c>
      <x:c r="AC92" s="52" t="n">
        <x:v>3</x:v>
      </x:c>
      <x:c r="AD92" s="46" t="str">
        <x:v>No</x:v>
      </x:c>
      <x:c r="AE92" s="46" t="str">
        <x:v>No</x:v>
      </x:c>
      <x:c r="AF92" s="46" t="str">
        <x:v>No</x:v>
      </x:c>
      <x:c r="AG92" s="46" t="str">
        <x:v>No</x:v>
      </x:c>
      <x:c r="AH92" s="46" t="str">
        <x:v>Local only</x:v>
      </x:c>
      <x:c r="AI92" s="46" t="str">
        <x:v>Own parametric CAD</x:v>
      </x:c>
      <x:c r="AJ92" s="46" t="str">
        <x:v>No—own design</x:v>
      </x:c>
      <x:c r="AK92" s="50" t="n">
        <x:v>19.9</x:v>
      </x:c>
      <x:c r="AL92" s="50" t="n">
        <x:f>'Unit Economics'!R92</x:f>
        <x:v>136.32219999999998</x:v>
      </x:c>
      <x:c r="AM92" s="50" t="n">
        <x:f>'Unit Economics'!V92</x:f>
        <x:v>405.78999999999996</x:v>
      </x:c>
      <x:c r="AN92" s="54" t="n">
        <x:f>'Unit Economics'!Y92</x:f>
        <x:v>0.5502281524926687</x:v>
      </x:c>
      <x:c r="AO92" s="48" t="n">
        <x:f>ROUND(H92*Assumptions!$B$39+I92*20*Assumptions!$B$40+J92*20*Assumptions!$B$41+K92*20*Assumptions!$B$42+L92*20*Assumptions!$B$43+(6-AC92)*20*Assumptions!$B$44,1)</x:f>
        <x:v>77.4</x:v>
      </x:c>
      <x:c r="AP92" s="46" t="str">
        <x:f>IF(OR(AC92&gt;=4,AD92="Yes",AE92="Yes",AF92="Complete electrical"),"Specialist / Hold",IF(AND(AO92&gt;=92,AH92="Ready",AC92&lt;=2),"Wave 1",IF(AO92&gt;=82,"Wave 2","Wave 3")))</x:f>
        <x:v>Wave 3</x:v>
      </x:c>
      <x:c r="AQ92" s="46" t="str">
        <x:v>S02; S03; S11; S19; S20</x:v>
      </x:c>
      <x:c r="AR92" s="46" t="str">
        <x:v>Backlog</x:v>
      </x:c>
      <x:c r="AS92" s="46" t="str">
        <x:v>Develop segmented backup and large-format process window</x:v>
      </x:c>
      <x:c r="AT92" s="46" t="str"/>
    </x:row>
    <x:row r="93" ht="42" customHeight="1">
      <x:c r="A93" s="46" t="str">
        <x:v>SKU-092</x:v>
      </x:c>
      <x:c r="B93" s="46" t="str">
        <x:v>Pegboard mini-shelf module</x:v>
      </x:c>
      <x:c r="C93" s="46" t="str">
        <x:v>Modular pegboard &amp; wall-storage ecosystems</x:v>
      </x:c>
      <x:c r="D93" s="46" t="n">
        <x:v>16</x:v>
      </x:c>
      <x:c r="E93" s="46" t="str">
        <x:v>Add a shelf sized to a specific device, container or decor item.</x:v>
      </x:c>
      <x:c r="F93" s="46" t="str">
        <x:v>Home office, craft rooms and displays</x:v>
      </x:c>
      <x:c r="G93" s="46" t="str">
        <x:v>Organization and hardware-storage demand combines with strong maker interest in modular wall systems.</x:v>
      </x:c>
      <x:c r="H93" s="52" t="n">
        <x:v>78</x:v>
      </x:c>
      <x:c r="I93" s="52" t="n">
        <x:v>5</x:v>
      </x:c>
      <x:c r="J93" s="52" t="n">
        <x:v>5</x:v>
      </x:c>
      <x:c r="K93" s="52" t="n">
        <x:v>3</x:v>
      </x:c>
      <x:c r="L93" s="52" t="n">
        <x:v>3</x:v>
      </x:c>
      <x:c r="M93" s="52" t="n">
        <x:v>235</x:v>
      </x:c>
      <x:c r="N93" s="52" t="n">
        <x:v>125</x:v>
      </x:c>
      <x:c r="O93" s="52" t="n">
        <x:v>85</x:v>
      </x:c>
      <x:c r="P93" s="46" t="str">
        <x:v>M</x:v>
      </x:c>
      <x:c r="Q93" s="46" t="str">
        <x:v>Shelf + two grid latches</x:v>
      </x:c>
      <x:c r="R93" s="46" t="str">
        <x:v>PETG</x:v>
      </x:c>
      <x:c r="S93" s="46" t="str">
        <x:v>Optional TPU mat</x:v>
      </x:c>
      <x:c r="T93" s="46" t="str">
        <x:v>Core 250 mm</x:v>
      </x:c>
      <x:c r="U93" s="46" t="str">
        <x:v>No</x:v>
      </x:c>
      <x:c r="V93" s="46" t="str">
        <x:v>None</x:v>
      </x:c>
      <x:c r="W93" s="52" t="n">
        <x:v>3</x:v>
      </x:c>
      <x:c r="X93" s="46" t="str">
        <x:v>Object footprint/weight, desired shelf depth</x:v>
      </x:c>
      <x:c r="Y93" s="46" t="str">
        <x:v>Shelf width/depth, ribs, lip, latch spacing</x:v>
      </x:c>
      <x:c r="Z93" s="46" t="str">
        <x:v>Deflection, proof load, latch cycle and tip test</x:v>
      </x:c>
      <x:c r="AA93" s="46" t="str">
        <x:v>Only within published distributed-load class</x:v>
      </x:c>
      <x:c r="AB93" s="46" t="str">
        <x:v>GPSR + load/interface validation</x:v>
      </x:c>
      <x:c r="AC93" s="52" t="n">
        <x:v>4</x:v>
      </x:c>
      <x:c r="AD93" s="46" t="str">
        <x:v>No</x:v>
      </x:c>
      <x:c r="AE93" s="46" t="str">
        <x:v>Potential</x:v>
      </x:c>
      <x:c r="AF93" s="46" t="str">
        <x:v>No</x:v>
      </x:c>
      <x:c r="AG93" s="46" t="str">
        <x:v>Yes—test</x:v>
      </x:c>
      <x:c r="AH93" s="46" t="str">
        <x:v>Local only</x:v>
      </x:c>
      <x:c r="AI93" s="46" t="str">
        <x:v>Own proprietary ecosystem</x:v>
      </x:c>
      <x:c r="AJ93" s="46" t="str">
        <x:v>No—own design</x:v>
      </x:c>
      <x:c r="AK93" s="50" t="n">
        <x:v>11.9</x:v>
      </x:c>
      <x:c r="AL93" s="50" t="n">
        <x:f>'Unit Economics'!R93</x:f>
        <x:v>29.02767</x:v>
      </x:c>
      <x:c r="AM93" s="50" t="n">
        <x:f>'Unit Economics'!V93</x:f>
        <x:v>86.86999999999999</x:v>
      </x:c>
      <x:c r="AN93" s="54" t="n">
        <x:f>'Unit Economics'!Y93</x:f>
        <x:v>0.5523606849315068</x:v>
      </x:c>
      <x:c r="AO93" s="48" t="n">
        <x:f>ROUND(H93*Assumptions!$B$39+I93*20*Assumptions!$B$40+J93*20*Assumptions!$B$41+K93*20*Assumptions!$B$42+L93*20*Assumptions!$B$43+(6-AC93)*20*Assumptions!$B$44,1)</x:f>
        <x:v>77.4</x:v>
      </x:c>
      <x:c r="AP93" s="46" t="str">
        <x:f>IF(OR(AC93&gt;=4,AD93="Yes",AE93="Yes",AF93="Complete electrical"),"Specialist / Hold",IF(AND(AO93&gt;=92,AH93="Ready",AC93&lt;=2),"Wave 1",IF(AO93&gt;=82,"Wave 2","Wave 3")))</x:f>
        <x:v>Specialist / Hold</x:v>
      </x:c>
      <x:c r="AQ93" s="46" t="str">
        <x:v>S08; S09; S11; S19</x:v>
      </x:c>
      <x:c r="AR93" s="46" t="str">
        <x:v>Backlog</x:v>
      </x:c>
      <x:c r="AS93" s="46" t="str">
        <x:v>Optimize ribs and establish shelf load table</x:v>
      </x:c>
      <x:c r="AT93" s="46" t="str"/>
    </x:row>
    <x:row r="94" ht="42" customHeight="1">
      <x:c r="A94" s="46" t="str">
        <x:v>SKU-093</x:v>
      </x:c>
      <x:c r="B94" s="46" t="str">
        <x:v>Original articulated desk creature</x:v>
      </x:c>
      <x:c r="C94" s="46" t="str">
        <x:v>Adult desk fidgets &amp; original collectibles</x:v>
      </x:c>
      <x:c r="D94" s="46" t="n">
        <x:v>20</x:v>
      </x:c>
      <x:c r="E94" s="46" t="str">
        <x:v>Offer an original articulated collectible personalized in size and color.</x:v>
      </x:c>
      <x:c r="F94" s="46" t="str">
        <x:v>Adult collectors and desk decor buyers</x:v>
      </x:c>
      <x:c r="G94" s="46" t="str">
        <x:v>Whimsy, charms and collectibility remain visible 2026 demand signals and active 3D-model categories.</x:v>
      </x:c>
      <x:c r="H94" s="52" t="n">
        <x:v>71</x:v>
      </x:c>
      <x:c r="I94" s="52" t="n">
        <x:v>5</x:v>
      </x:c>
      <x:c r="J94" s="52" t="n">
        <x:v>4</x:v>
      </x:c>
      <x:c r="K94" s="52" t="n">
        <x:v>4</x:v>
      </x:c>
      <x:c r="L94" s="52" t="n">
        <x:v>4</x:v>
      </x:c>
      <x:c r="M94" s="52" t="n">
        <x:v>205</x:v>
      </x:c>
      <x:c r="N94" s="52" t="n">
        <x:v>85</x:v>
      </x:c>
      <x:c r="O94" s="52" t="n">
        <x:v>55</x:v>
      </x:c>
      <x:c r="P94" s="46" t="str">
        <x:v>M</x:v>
      </x:c>
      <x:c r="Q94" s="46" t="str">
        <x:v>Print-in-place articulated body</x:v>
      </x:c>
      <x:c r="R94" s="46" t="str">
        <x:v>PLA</x:v>
      </x:c>
      <x:c r="S94" s="46" t="str">
        <x:v>None</x:v>
      </x:c>
      <x:c r="T94" s="46" t="str">
        <x:v>Core 250 mm</x:v>
      </x:c>
      <x:c r="U94" s="46" t="str">
        <x:v>No</x:v>
      </x:c>
      <x:c r="V94" s="46" t="str">
        <x:v>None</x:v>
      </x:c>
      <x:c r="W94" s="52" t="n">
        <x:v>3</x:v>
      </x:c>
      <x:c r="X94" s="46" t="str">
        <x:v>Size, color, optional name tag and adult-use confirmation</x:v>
      </x:c>
      <x:c r="Y94" s="46" t="str">
        <x:v>Scale, joint clearance, pattern, tag</x:v>
      </x:c>
      <x:c r="Z94" s="46" t="str">
        <x:v>Joint cycles, break/small-parts and sharp-edge test</x:v>
      </x:c>
      <x:c r="AA94" s="46" t="str">
        <x:v>Adult collectible; not a children's toy; marketing and design must support classification</x:v>
      </x:c>
      <x:c r="AB94" s="46" t="str">
        <x:v>GPSR + adult collectible/toy-classification screen</x:v>
      </x:c>
      <x:c r="AC94" s="52" t="n">
        <x:v>4</x:v>
      </x:c>
      <x:c r="AD94" s="46" t="str">
        <x:v>No</x:v>
      </x:c>
      <x:c r="AE94" s="46" t="str">
        <x:v>Potential</x:v>
      </x:c>
      <x:c r="AF94" s="46" t="str">
        <x:v>No</x:v>
      </x:c>
      <x:c r="AG94" s="46" t="str">
        <x:v>No</x:v>
      </x:c>
      <x:c r="AH94" s="46" t="str">
        <x:v>Local only</x:v>
      </x:c>
      <x:c r="AI94" s="46" t="str">
        <x:v>Own/commissioned original character IP</x:v>
      </x:c>
      <x:c r="AJ94" s="46" t="str">
        <x:v>No—own or commissioned art</x:v>
      </x:c>
      <x:c r="AK94" s="50" t="n">
        <x:v>9.9</x:v>
      </x:c>
      <x:c r="AL94" s="50" t="n">
        <x:f>'Unit Economics'!R94</x:f>
        <x:v>12.784800000000002</x:v>
      </x:c>
      <x:c r="AM94" s="50" t="n">
        <x:f>'Unit Economics'!V94</x:f>
        <x:v>38.08</x:v>
      </x:c>
      <x:c r="AN94" s="54" t="n">
        <x:f>'Unit Economics'!Y94</x:f>
        <x:v>0.5504749999999998</x:v>
      </x:c>
      <x:c r="AO94" s="48" t="n">
        <x:f>ROUND(H94*Assumptions!$B$39+I94*20*Assumptions!$B$40+J94*20*Assumptions!$B$41+K94*20*Assumptions!$B$42+L94*20*Assumptions!$B$43+(6-AC94)*20*Assumptions!$B$44,1)</x:f>
        <x:v>77.3</x:v>
      </x:c>
      <x:c r="AP94" s="46" t="str">
        <x:f>IF(OR(AC94&gt;=4,AD94="Yes",AE94="Yes",AF94="Complete electrical"),"Specialist / Hold",IF(AND(AO94&gt;=92,AH94="Ready",AC94&lt;=2),"Wave 1",IF(AO94&gt;=82,"Wave 2","Wave 3")))</x:f>
        <x:v>Specialist / Hold</x:v>
      </x:c>
      <x:c r="AQ94" s="46" t="str">
        <x:v>S01; S04; S11; S16; S18</x:v>
      </x:c>
      <x:c r="AR94" s="46" t="str">
        <x:v>Backlog</x:v>
      </x:c>
      <x:c r="AS94" s="46" t="str">
        <x:v>Commission original character and classification review</x:v>
      </x:c>
      <x:c r="AT94" s="46" t="str"/>
    </x:row>
    <x:row r="95" ht="42" customHeight="1">
      <x:c r="A95" s="46" t="str">
        <x:v>SKU-094</x:v>
      </x:c>
      <x:c r="B95" s="46" t="str">
        <x:v>E27 LED-only pendant lampshade</x:v>
      </x:c>
      <x:c r="C95" s="46" t="str">
        <x:v>Passive lampshades &amp; light diffusers</x:v>
      </x:c>
      <x:c r="D95" s="46" t="n">
        <x:v>12</x:v>
      </x:c>
      <x:c r="E95" s="46" t="str">
        <x:v>Create a shade for a standardized lamp-holder interface with controlled clearances.</x:v>
      </x:c>
      <x:c r="F95" s="46" t="str">
        <x:v>Design-led home lighting customers</x:v>
      </x:c>
      <x:c r="G95" s="46" t="str">
        <x:v>Nature-aligned lighting and sculptural/sensory decor create demand for distinctive passive light components.</x:v>
      </x:c>
      <x:c r="H95" s="52" t="n">
        <x:v>82</x:v>
      </x:c>
      <x:c r="I95" s="52" t="n">
        <x:v>5</x:v>
      </x:c>
      <x:c r="J95" s="52" t="n">
        <x:v>5</x:v>
      </x:c>
      <x:c r="K95" s="52" t="n">
        <x:v>2</x:v>
      </x:c>
      <x:c r="L95" s="52" t="n">
        <x:v>3</x:v>
      </x:c>
      <x:c r="M95" s="52" t="n">
        <x:v>240</x:v>
      </x:c>
      <x:c r="N95" s="52" t="n">
        <x:v>240</x:v>
      </x:c>
      <x:c r="O95" s="52" t="n">
        <x:v>240</x:v>
      </x:c>
      <x:c r="P95" s="46" t="str">
        <x:v>M</x:v>
      </x:c>
      <x:c r="Q95" s="46" t="str">
        <x:v>Single shade with standardized ring</x:v>
      </x:c>
      <x:c r="R95" s="46" t="str">
        <x:v>PETG</x:v>
      </x:c>
      <x:c r="S95" s="46" t="str">
        <x:v>Separate certified E27 holder</x:v>
      </x:c>
      <x:c r="T95" s="46" t="str">
        <x:v>Core 250 mm</x:v>
      </x:c>
      <x:c r="U95" s="46" t="str">
        <x:v>No</x:v>
      </x:c>
      <x:c r="V95" s="46" t="str">
        <x:v>None</x:v>
      </x:c>
      <x:c r="W95" s="52" t="n">
        <x:v>4</x:v>
      </x:c>
      <x:c r="X95" s="46" t="str">
        <x:v>Holder-ring dimensions, LED lamp type, desired size/style</x:v>
      </x:c>
      <x:c r="Y95" s="46" t="str">
        <x:v>Ring, shade profile, ventilation, wall thickness</x:v>
      </x:c>
      <x:c r="Z95" s="46" t="str">
        <x:v>Gauge fit, heat-clearance test with defined LED, visual inspection</x:v>
      </x:c>
      <x:c r="AA95" s="46" t="str">
        <x:v>Passive shade only; certified LED holder/lamp supplied separately; no incandescent/halogen</x:v>
      </x:c>
      <x:c r="AB95" s="46" t="str">
        <x:v>GPSR + passive-lighting heat/fit validation</x:v>
      </x:c>
      <x:c r="AC95" s="52" t="n">
        <x:v>4</x:v>
      </x:c>
      <x:c r="AD95" s="46" t="str">
        <x:v>No</x:v>
      </x:c>
      <x:c r="AE95" s="46" t="str">
        <x:v>No</x:v>
      </x:c>
      <x:c r="AF95" s="46" t="str">
        <x:v>Passive component</x:v>
      </x:c>
      <x:c r="AG95" s="46" t="str">
        <x:v>No</x:v>
      </x:c>
      <x:c r="AH95" s="46" t="str">
        <x:v>Local only</x:v>
      </x:c>
      <x:c r="AI95" s="46" t="str">
        <x:v>Own CAD; standard interface spec</x:v>
      </x:c>
      <x:c r="AJ95" s="46" t="str">
        <x:v>No—own design</x:v>
      </x:c>
      <x:c r="AK95" s="50" t="n">
        <x:v>16.9</x:v>
      </x:c>
      <x:c r="AL95" s="50" t="n">
        <x:f>'Unit Economics'!R95</x:f>
        <x:v>37.36418</x:v>
      </x:c>
      <x:c r="AM95" s="50" t="n">
        <x:f>'Unit Economics'!V95</x:f>
        <x:v>111.265</x:v>
      </x:c>
      <x:c r="AN95" s="54" t="n">
        <x:f>'Unit Economics'!Y95</x:f>
        <x:v>0.5503831016042782</x:v>
      </x:c>
      <x:c r="AO95" s="48" t="n">
        <x:f>ROUND(H95*Assumptions!$B$39+I95*20*Assumptions!$B$40+J95*20*Assumptions!$B$41+K95*20*Assumptions!$B$42+L95*20*Assumptions!$B$43+(6-AC95)*20*Assumptions!$B$44,1)</x:f>
        <x:v>75.6</x:v>
      </x:c>
      <x:c r="AP95" s="46" t="str">
        <x:f>IF(OR(AC95&gt;=4,AD95="Yes",AE95="Yes",AF95="Complete electrical"),"Specialist / Hold",IF(AND(AO95&gt;=92,AH95="Ready",AC95&lt;=2),"Wave 1",IF(AO95&gt;=82,"Wave 2","Wave 3")))</x:f>
        <x:v>Specialist / Hold</x:v>
      </x:c>
      <x:c r="AQ95" s="46" t="str">
        <x:v>S02; S11; S15; S19; S20; S28</x:v>
      </x:c>
      <x:c r="AR95" s="46" t="str">
        <x:v>Backlog</x:v>
      </x:c>
      <x:c r="AS95" s="46" t="str">
        <x:v>Engage lighting test expert and define approved LED envelope</x:v>
      </x:c>
      <x:c r="AT95" s="46" t="str"/>
    </x:row>
    <x:row r="96" ht="42" customHeight="1">
      <x:c r="A96" s="46" t="str">
        <x:v>SKU-095</x:v>
      </x:c>
      <x:c r="B96" s="46" t="str">
        <x:v>Table-lamp replacement shade with ring adapter</x:v>
      </x:c>
      <x:c r="C96" s="46" t="str">
        <x:v>Passive lampshades &amp; light diffusers</x:v>
      </x:c>
      <x:c r="D96" s="46" t="n">
        <x:v>12</x:v>
      </x:c>
      <x:c r="E96" s="46" t="str">
        <x:v>Replace an unavailable shade using measured ring and envelope dimensions.</x:v>
      </x:c>
      <x:c r="F96" s="46" t="str">
        <x:v>Repair and home decor customers</x:v>
      </x:c>
      <x:c r="G96" s="46" t="str">
        <x:v>Nature-aligned lighting and sculptural/sensory decor create demand for distinctive passive light components.</x:v>
      </x:c>
      <x:c r="H96" s="52" t="n">
        <x:v>81</x:v>
      </x:c>
      <x:c r="I96" s="52" t="n">
        <x:v>5</x:v>
      </x:c>
      <x:c r="J96" s="52" t="n">
        <x:v>5</x:v>
      </x:c>
      <x:c r="K96" s="52" t="n">
        <x:v>2</x:v>
      </x:c>
      <x:c r="L96" s="52" t="n">
        <x:v>3</x:v>
      </x:c>
      <x:c r="M96" s="52" t="n">
        <x:v>225</x:v>
      </x:c>
      <x:c r="N96" s="52" t="n">
        <x:v>225</x:v>
      </x:c>
      <x:c r="O96" s="52" t="n">
        <x:v>205</x:v>
      </x:c>
      <x:c r="P96" s="46" t="str">
        <x:v>M</x:v>
      </x:c>
      <x:c r="Q96" s="46" t="str">
        <x:v>Shade + removable adapter ring</x:v>
      </x:c>
      <x:c r="R96" s="46" t="str">
        <x:v>PETG</x:v>
      </x:c>
      <x:c r="S96" s="46" t="str">
        <x:v>Separate certified lamp base</x:v>
      </x:c>
      <x:c r="T96" s="46" t="str">
        <x:v>Core 250 mm</x:v>
      </x:c>
      <x:c r="U96" s="46" t="str">
        <x:v>No</x:v>
      </x:c>
      <x:c r="V96" s="46" t="str">
        <x:v>None</x:v>
      </x:c>
      <x:c r="W96" s="52" t="n">
        <x:v>4</x:v>
      </x:c>
      <x:c r="X96" s="46" t="str">
        <x:v>Original shade/ring dimensions, lamp type, clearances</x:v>
      </x:c>
      <x:c r="Y96" s="46" t="str">
        <x:v>Adapter ring, profile, ventilation, minimum spacing</x:v>
      </x:c>
      <x:c r="Z96" s="46" t="str">
        <x:v>Gauge fit, heat-clearance test, stability on lamp base</x:v>
      </x:c>
      <x:c r="AA96" s="46" t="str">
        <x:v>Passive shade only; use approved LED lamp and maintain specified clearance</x:v>
      </x:c>
      <x:c r="AB96" s="46" t="str">
        <x:v>GPSR + passive-lighting/repair validation</x:v>
      </x:c>
      <x:c r="AC96" s="52" t="n">
        <x:v>4</x:v>
      </x:c>
      <x:c r="AD96" s="46" t="str">
        <x:v>No</x:v>
      </x:c>
      <x:c r="AE96" s="46" t="str">
        <x:v>No</x:v>
      </x:c>
      <x:c r="AF96" s="46" t="str">
        <x:v>Passive component</x:v>
      </x:c>
      <x:c r="AG96" s="46" t="str">
        <x:v>No</x:v>
      </x:c>
      <x:c r="AH96" s="46" t="str">
        <x:v>Local only</x:v>
      </x:c>
      <x:c r="AI96" s="46" t="str">
        <x:v>Own parametric replacement design; IP case review</x:v>
      </x:c>
      <x:c r="AJ96" s="46" t="str">
        <x:v>Rights/compatibility review required</x:v>
      </x:c>
      <x:c r="AK96" s="50" t="n">
        <x:v>16.9</x:v>
      </x:c>
      <x:c r="AL96" s="50" t="n">
        <x:f>'Unit Economics'!R96</x:f>
        <x:v>34.649370000000005</x:v>
      </x:c>
      <x:c r="AM96" s="50" t="n">
        <x:f>'Unit Economics'!V96</x:f>
        <x:v>103.53</x:v>
      </x:c>
      <x:c r="AN96" s="54" t="n">
        <x:f>'Unit Economics'!Y96</x:f>
        <x:v>0.5517313793103448</x:v>
      </x:c>
      <x:c r="AO96" s="48" t="n">
        <x:f>ROUND(H96*Assumptions!$B$39+I96*20*Assumptions!$B$40+J96*20*Assumptions!$B$41+K96*20*Assumptions!$B$42+L96*20*Assumptions!$B$43+(6-AC96)*20*Assumptions!$B$44,1)</x:f>
        <x:v>75.3</x:v>
      </x:c>
      <x:c r="AP96" s="46" t="str">
        <x:f>IF(OR(AC96&gt;=4,AD96="Yes",AE96="Yes",AF96="Complete electrical"),"Specialist / Hold",IF(AND(AO96&gt;=92,AH96="Ready",AC96&lt;=2),"Wave 1",IF(AO96&gt;=82,"Wave 2","Wave 3")))</x:f>
        <x:v>Specialist / Hold</x:v>
      </x:c>
      <x:c r="AQ96" s="46" t="str">
        <x:v>S02; S11; S15; S19; S20; S28</x:v>
      </x:c>
      <x:c r="AR96" s="46" t="str">
        <x:v>Backlog</x:v>
      </x:c>
      <x:c r="AS96" s="46" t="str">
        <x:v>Create measurement jig and compatibility disclaimer</x:v>
      </x:c>
      <x:c r="AT96" s="46" t="str"/>
    </x:row>
    <x:row r="97" ht="42" customHeight="1">
      <x:c r="A97" s="46" t="str">
        <x:v>SKU-096</x:v>
      </x:c>
      <x:c r="B97" s="46" t="str">
        <x:v>Screw-mounted shower shelf</x:v>
      </x:c>
      <x:c r="C97" s="46" t="str">
        <x:v>Bathroom &amp; shower organizers</x:v>
      </x:c>
      <x:c r="D97" s="46" t="n">
        <x:v>13</x:v>
      </x:c>
      <x:c r="E97" s="46" t="str">
        <x:v>Fit a shelf to an exact shower corner or wall and product set.</x:v>
      </x:c>
      <x:c r="F97" s="46" t="str">
        <x:v>Bathrooms with fixed mounting allowed</x:v>
      </x:c>
      <x:c r="G97" s="46" t="str">
        <x:v>July 2026 marketplace analytics show strong bathroom-organization demand and concentrated price bands.</x:v>
      </x:c>
      <x:c r="H97" s="52" t="n">
        <x:v>81</x:v>
      </x:c>
      <x:c r="I97" s="52" t="n">
        <x:v>5</x:v>
      </x:c>
      <x:c r="J97" s="52" t="n">
        <x:v>5</x:v>
      </x:c>
      <x:c r="K97" s="52" t="n">
        <x:v>2</x:v>
      </x:c>
      <x:c r="L97" s="52" t="n">
        <x:v>3</x:v>
      </x:c>
      <x:c r="M97" s="52" t="n">
        <x:v>235</x:v>
      </x:c>
      <x:c r="N97" s="52" t="n">
        <x:v>125</x:v>
      </x:c>
      <x:c r="O97" s="52" t="n">
        <x:v>85</x:v>
      </x:c>
      <x:c r="P97" s="46" t="str">
        <x:v>M</x:v>
      </x:c>
      <x:c r="Q97" s="46" t="str">
        <x:v>Shelf + mounting brackets</x:v>
      </x:c>
      <x:c r="R97" s="46" t="str">
        <x:v>PETG</x:v>
      </x:c>
      <x:c r="S97" s="46" t="str">
        <x:v>Stainless fasteners and wall plugs</x:v>
      </x:c>
      <x:c r="T97" s="46" t="str">
        <x:v>Core 250 mm</x:v>
      </x:c>
      <x:c r="U97" s="46" t="str">
        <x:v>No</x:v>
      </x:c>
      <x:c r="V97" s="46" t="str">
        <x:v>Optional</x:v>
      </x:c>
      <x:c r="W97" s="52" t="n">
        <x:v>4</x:v>
      </x:c>
      <x:c r="X97" s="46" t="str">
        <x:v>Wall type, hole spacing, product weights, shelf dimensions</x:v>
      </x:c>
      <x:c r="Y97" s="46" t="str">
        <x:v>Shelf width/depth, drain slots, brackets, rail</x:v>
      </x:c>
      <x:c r="Z97" s="46" t="str">
        <x:v>Wet load test, fastener pull, creep, drainage and cleaning test</x:v>
      </x:c>
      <x:c r="AA97" s="46" t="str">
        <x:v>Only with approved fasteners/substrates and published wet-load class</x:v>
      </x:c>
      <x:c r="AB97" s="46" t="str">
        <x:v>GPSR + wet load/mounting validation</x:v>
      </x:c>
      <x:c r="AC97" s="52" t="n">
        <x:v>5</x:v>
      </x:c>
      <x:c r="AD97" s="46" t="str">
        <x:v>No</x:v>
      </x:c>
      <x:c r="AE97" s="46" t="str">
        <x:v>No</x:v>
      </x:c>
      <x:c r="AF97" s="46" t="str">
        <x:v>No</x:v>
      </x:c>
      <x:c r="AG97" s="46" t="str">
        <x:v>Yes—test</x:v>
      </x:c>
      <x:c r="AH97" s="46" t="str">
        <x:v>Local only</x:v>
      </x:c>
      <x:c r="AI97" s="46" t="str">
        <x:v>Own engineered design; approved hardware BOM</x:v>
      </x:c>
      <x:c r="AJ97" s="46" t="str">
        <x:v>No—own design</x:v>
      </x:c>
      <x:c r="AK97" s="50" t="n">
        <x:v>15.9</x:v>
      </x:c>
      <x:c r="AL97" s="50" t="n">
        <x:f>'Unit Economics'!R97</x:f>
        <x:v>36.58655</x:v>
      </x:c>
      <x:c r="AM97" s="50" t="n">
        <x:f>'Unit Economics'!V97</x:f>
        <x:v>108.88499999999999</x:v>
      </x:c>
      <x:c r="AN97" s="54" t="n">
        <x:f>'Unit Economics'!Y97</x:f>
        <x:v>0.5501469945355191</x:v>
      </x:c>
      <x:c r="AO97" s="48" t="n">
        <x:f>ROUND(H97*Assumptions!$B$39+I97*20*Assumptions!$B$40+J97*20*Assumptions!$B$41+K97*20*Assumptions!$B$42+L97*20*Assumptions!$B$43+(6-AC97)*20*Assumptions!$B$44,1)</x:f>
        <x:v>73.3</x:v>
      </x:c>
      <x:c r="AP97" s="46" t="str">
        <x:f>IF(OR(AC97&gt;=4,AD97="Yes",AE97="Yes",AF97="Complete electrical"),"Specialist / Hold",IF(AND(AO97&gt;=92,AH97="Ready",AC97&lt;=2),"Wave 1",IF(AO97&gt;=82,"Wave 2","Wave 3")))</x:f>
        <x:v>Specialist / Hold</x:v>
      </x:c>
      <x:c r="AQ97" s="46" t="str">
        <x:v>S07; S11; S19</x:v>
      </x:c>
      <x:c r="AR97" s="46" t="str">
        <x:v>Backlog</x:v>
      </x:c>
      <x:c r="AS97" s="46" t="str">
        <x:v>Specialist mounting and wet-load program</x:v>
      </x:c>
      <x:c r="AT97" s="46" t="str"/>
    </x:row>
    <x:row r="98" ht="42" customHeight="1">
      <x:c r="A98" s="46" t="str">
        <x:v>SKU-097</x:v>
      </x:c>
      <x:c r="B98" s="46" t="str">
        <x:v>Hanging planter with certified cord interface</x:v>
      </x:c>
      <x:c r="C98" s="46" t="str">
        <x:v>Planters &amp; self-watering planters</x:v>
      </x:c>
      <x:c r="D98" s="46" t="n">
        <x:v>7</x:v>
      </x:c>
      <x:c r="E98" s="46" t="str">
        <x:v>Create a planter that fits a space while using a standardized hanging cord or bracket.</x:v>
      </x:c>
      <x:c r="F98" s="46" t="str">
        <x:v>Plant enthusiasts and small-space households</x:v>
      </x:c>
      <x:c r="G98" s="46" t="str">
        <x:v>Nature-aligned interiors, tactile surfaces and sculptural decor support customizable planter demand.</x:v>
      </x:c>
      <x:c r="H98" s="52" t="n">
        <x:v>87</x:v>
      </x:c>
      <x:c r="I98" s="52" t="n">
        <x:v>5</x:v>
      </x:c>
      <x:c r="J98" s="52" t="n">
        <x:v>5</x:v>
      </x:c>
      <x:c r="K98" s="52" t="n">
        <x:v>2</x:v>
      </x:c>
      <x:c r="L98" s="52" t="n">
        <x:v>2</x:v>
      </x:c>
      <x:c r="M98" s="52" t="n">
        <x:v>235</x:v>
      </x:c>
      <x:c r="N98" s="52" t="n">
        <x:v>235</x:v>
      </x:c>
      <x:c r="O98" s="52" t="n">
        <x:v>225</x:v>
      </x:c>
      <x:c r="P98" s="46" t="str">
        <x:v>M</x:v>
      </x:c>
      <x:c r="Q98" s="46" t="str">
        <x:v>Planter + removable liner + cord interface</x:v>
      </x:c>
      <x:c r="R98" s="46" t="str">
        <x:v>PETG</x:v>
      </x:c>
      <x:c r="S98" s="46" t="str">
        <x:v>Certified cord/hardware and liner</x:v>
      </x:c>
      <x:c r="T98" s="46" t="str">
        <x:v>Core 250 mm</x:v>
      </x:c>
      <x:c r="U98" s="46" t="str">
        <x:v>No</x:v>
      </x:c>
      <x:c r="V98" s="46" t="str">
        <x:v>Optional</x:v>
      </x:c>
      <x:c r="W98" s="52" t="n">
        <x:v>4</x:v>
      </x:c>
      <x:c r="X98" s="46" t="str">
        <x:v>Plant/pot weight, hanging hardware, ceiling/wall type, dimensions</x:v>
      </x:c>
      <x:c r="Y98" s="46" t="str">
        <x:v>Interface geometry, center of gravity, liner, drainage</x:v>
      </x:c>
      <x:c r="Z98" s="46" t="str">
        <x:v>Proof load, drop containment, leak test, hardware compatibility</x:v>
      </x:c>
      <x:c r="AA98" s="46" t="str">
        <x:v>Never hang over beds, seating or valuables; use only approved hardware/load</x:v>
      </x:c>
      <x:c r="AB98" s="46" t="str">
        <x:v>GPSR + suspended-load validation</x:v>
      </x:c>
      <x:c r="AC98" s="52" t="n">
        <x:v>5</x:v>
      </x:c>
      <x:c r="AD98" s="46" t="str">
        <x:v>No</x:v>
      </x:c>
      <x:c r="AE98" s="46" t="str">
        <x:v>No</x:v>
      </x:c>
      <x:c r="AF98" s="46" t="str">
        <x:v>No</x:v>
      </x:c>
      <x:c r="AG98" s="46" t="str">
        <x:v>Yes—test</x:v>
      </x:c>
      <x:c r="AH98" s="46" t="str">
        <x:v>Local only</x:v>
      </x:c>
      <x:c r="AI98" s="46" t="str">
        <x:v>Own engineered design; approved hardware BOM</x:v>
      </x:c>
      <x:c r="AJ98" s="46" t="str">
        <x:v>No—own design</x:v>
      </x:c>
      <x:c r="AK98" s="50" t="n">
        <x:v>16.9</x:v>
      </x:c>
      <x:c r="AL98" s="50" t="n">
        <x:f>'Unit Economics'!R98</x:f>
        <x:v>49.77287</x:v>
      </x:c>
      <x:c r="AM98" s="50" t="n">
        <x:f>'Unit Economics'!V98</x:f>
        <x:v>148.155</x:v>
      </x:c>
      <x:c r="AN98" s="54" t="n">
        <x:f>'Unit Economics'!Y98</x:f>
        <x:v>0.5502179116465864</x:v>
      </x:c>
      <x:c r="AO98" s="48" t="n">
        <x:f>ROUND(H98*Assumptions!$B$39+I98*20*Assumptions!$B$40+J98*20*Assumptions!$B$41+K98*20*Assumptions!$B$42+L98*20*Assumptions!$B$43+(6-AC98)*20*Assumptions!$B$44,1)</x:f>
        <x:v>73.1</x:v>
      </x:c>
      <x:c r="AP98" s="46" t="str">
        <x:f>IF(OR(AC98&gt;=4,AD98="Yes",AE98="Yes",AF98="Complete electrical"),"Specialist / Hold",IF(AND(AO98&gt;=92,AH98="Ready",AC98&lt;=2),"Wave 1",IF(AO98&gt;=82,"Wave 2","Wave 3")))</x:f>
        <x:v>Specialist / Hold</x:v>
      </x:c>
      <x:c r="AQ98" s="46" t="str">
        <x:v>S02; S03; S11; S19; S20</x:v>
      </x:c>
      <x:c r="AR98" s="46" t="str">
        <x:v>Backlog</x:v>
      </x:c>
      <x:c r="AS98" s="46" t="str">
        <x:v>Specialist engineering review before any listing</x:v>
      </x:c>
      <x:c r="AT98" s="46" t="str"/>
    </x:row>
    <x:row r="99" ht="42" customHeight="1">
      <x:c r="A99" s="46" t="str">
        <x:v>SKU-098</x:v>
      </x:c>
      <x:c r="B99" s="46" t="str">
        <x:v>Leak-qualified PETG flower vase</x:v>
      </x:c>
      <x:c r="C99" s="46" t="str">
        <x:v>Vases &amp; sculptural containers</x:v>
      </x:c>
      <x:c r="D99" s="46" t="n">
        <x:v>8</x:v>
      </x:c>
      <x:c r="E99" s="46" t="str">
        <x:v>Provide a water-containing vase after controlled material and process validation.</x:v>
      </x:c>
      <x:c r="F99" s="46" t="str">
        <x:v>Premium local-print customers</x:v>
      </x:c>
      <x:c r="G99" s="46" t="str">
        <x:v>2026 decor signals favor sculptural silhouettes, visible texture and personalized interiors.</x:v>
      </x:c>
      <x:c r="H99" s="52" t="n">
        <x:v>85</x:v>
      </x:c>
      <x:c r="I99" s="52" t="n">
        <x:v>5</x:v>
      </x:c>
      <x:c r="J99" s="52" t="n">
        <x:v>4</x:v>
      </x:c>
      <x:c r="K99" s="52" t="n">
        <x:v>2</x:v>
      </x:c>
      <x:c r="L99" s="52" t="n">
        <x:v>2</x:v>
      </x:c>
      <x:c r="M99" s="52" t="n">
        <x:v>230</x:v>
      </x:c>
      <x:c r="N99" s="52" t="n">
        <x:v>230</x:v>
      </x:c>
      <x:c r="O99" s="52" t="n">
        <x:v>240</x:v>
      </x:c>
      <x:c r="P99" s="46" t="str">
        <x:v>M</x:v>
      </x:c>
      <x:c r="Q99" s="46" t="str">
        <x:v>Single thick-wall shell</x:v>
      </x:c>
      <x:c r="R99" s="46" t="str">
        <x:v>PETG</x:v>
      </x:c>
      <x:c r="S99" s="46" t="str">
        <x:v>Optional replaceable liner</x:v>
      </x:c>
      <x:c r="T99" s="46" t="str">
        <x:v>Core 250 mm</x:v>
      </x:c>
      <x:c r="U99" s="46" t="str">
        <x:v>No</x:v>
      </x:c>
      <x:c r="V99" s="46" t="str">
        <x:v>None</x:v>
      </x:c>
      <x:c r="W99" s="52" t="n">
        <x:v>4</x:v>
      </x:c>
      <x:c r="X99" s="46" t="str">
        <x:v>Dimensions, water-use duration, style</x:v>
      </x:c>
      <x:c r="Y99" s="46" t="str">
        <x:v>Wall thickness, base, seam-free profile, liner seat</x:v>
      </x:c>
      <x:c r="Z99" s="46" t="str">
        <x:v>100% leak test per unit, 7-day soak, stability and cleaning review</x:v>
      </x:c>
      <x:c r="AA99" s="46" t="str">
        <x:v>Not food contact; no hot liquids; leak claim valid only for local controlled production</x:v>
      </x:c>
      <x:c r="AB99" s="46" t="str">
        <x:v>GPSR + per-unit leak validation</x:v>
      </x:c>
      <x:c r="AC99" s="52" t="n">
        <x:v>4</x:v>
      </x:c>
      <x:c r="AD99" s="46" t="str">
        <x:v>No</x:v>
      </x:c>
      <x:c r="AE99" s="46" t="str">
        <x:v>No</x:v>
      </x:c>
      <x:c r="AF99" s="46" t="str">
        <x:v>No</x:v>
      </x:c>
      <x:c r="AG99" s="46" t="str">
        <x:v>No</x:v>
      </x:c>
      <x:c r="AH99" s="46" t="str">
        <x:v>Local only</x:v>
      </x:c>
      <x:c r="AI99" s="46" t="str">
        <x:v>Own controlled design/process</x:v>
      </x:c>
      <x:c r="AJ99" s="46" t="str">
        <x:v>No—own design</x:v>
      </x:c>
      <x:c r="AK99" s="50" t="n">
        <x:v>15.9</x:v>
      </x:c>
      <x:c r="AL99" s="50" t="n">
        <x:f>'Unit Economics'!R99</x:f>
        <x:v>40.60931</x:v>
      </x:c>
      <x:c r="AM99" s="50" t="n">
        <x:f>'Unit Economics'!V99</x:f>
        <x:v>121.38</x:v>
      </x:c>
      <x:c r="AN99" s="54" t="n">
        <x:f>'Unit Economics'!Y99</x:f>
        <x:v>0.5518695098039216</x:v>
      </x:c>
      <x:c r="AO99" s="48" t="n">
        <x:f>ROUND(H99*Assumptions!$B$39+I99*20*Assumptions!$B$40+J99*20*Assumptions!$B$41+K99*20*Assumptions!$B$42+L99*20*Assumptions!$B$43+(6-AC99)*20*Assumptions!$B$44,1)</x:f>
        <x:v>71.5</x:v>
      </x:c>
      <x:c r="AP99" s="46" t="str">
        <x:f>IF(OR(AC99&gt;=4,AD99="Yes",AE99="Yes",AF99="Complete electrical"),"Specialist / Hold",IF(AND(AO99&gt;=92,AH99="Ready",AC99&lt;=2),"Wave 1",IF(AO99&gt;=82,"Wave 2","Wave 3")))</x:f>
        <x:v>Specialist / Hold</x:v>
      </x:c>
      <x:c r="AQ99" s="46" t="str">
        <x:v>S02; S03; S11; S19</x:v>
      </x:c>
      <x:c r="AR99" s="46" t="str">
        <x:v>Backlog</x:v>
      </x:c>
      <x:c r="AS99" s="46" t="str">
        <x:v>Establish controlled profile and per-unit leak record</x:v>
      </x:c>
      <x:c r="AT99" s="46" t="str"/>
    </x:row>
    <x:row r="100" ht="42" customHeight="1">
      <x:c r="A100" s="46" t="str">
        <x:v>SKU-099</x:v>
      </x:c>
      <x:c r="B100" s="46" t="str">
        <x:v>Non-safety-critical appliance control knob</x:v>
      </x:c>
      <x:c r="C100" s="46" t="str">
        <x:v>Non-safety-critical replacement parts</x:v>
      </x:c>
      <x:c r="D100" s="46" t="n">
        <x:v>19</x:v>
      </x:c>
      <x:c r="E100" s="46" t="str">
        <x:v>Replace an unavailable knob where failure cannot create a hazardous state.</x:v>
      </x:c>
      <x:c r="F100" s="46" t="str">
        <x:v>Repair customers and repair cafes</x:v>
      </x:c>
      <x:c r="G100" s="46" t="str">
        <x:v>EU right-to-repair rules apply from 31 July 2026 and explicitly support compatible, lawful repair pathways.</x:v>
      </x:c>
      <x:c r="H100" s="52" t="n">
        <x:v>75</x:v>
      </x:c>
      <x:c r="I100" s="52" t="n">
        <x:v>5</x:v>
      </x:c>
      <x:c r="J100" s="52" t="n">
        <x:v>5</x:v>
      </x:c>
      <x:c r="K100" s="52" t="n">
        <x:v>1</x:v>
      </x:c>
      <x:c r="L100" s="52" t="n">
        <x:v>3</x:v>
      </x:c>
      <x:c r="M100" s="52" t="n">
        <x:v>85</x:v>
      </x:c>
      <x:c r="N100" s="52" t="n">
        <x:v>85</x:v>
      </x:c>
      <x:c r="O100" s="52" t="n">
        <x:v>45</x:v>
      </x:c>
      <x:c r="P100" s="46" t="str">
        <x:v>S</x:v>
      </x:c>
      <x:c r="Q100" s="46" t="str">
        <x:v>Knob + optional metal insert</x:v>
      </x:c>
      <x:c r="R100" s="46" t="str">
        <x:v>ASA</x:v>
      </x:c>
      <x:c r="S100" s="46" t="str">
        <x:v>Qualified insert if needed</x:v>
      </x:c>
      <x:c r="T100" s="46" t="str">
        <x:v>Enclosed 250 mm</x:v>
      </x:c>
      <x:c r="U100" s="46" t="str">
        <x:v>Yes</x:v>
      </x:c>
      <x:c r="V100" s="46" t="str">
        <x:v>None</x:v>
      </x:c>
      <x:c r="W100" s="52" t="n">
        <x:v>4</x:v>
      </x:c>
      <x:c r="X100" s="46" t="str">
        <x:v>Appliance identity, shaft geometry, temperature, function and failure analysis</x:v>
      </x:c>
      <x:c r="Y100" s="46" t="str">
        <x:v>Shaft fit, stop, insert, indicator mark, grip</x:v>
      </x:c>
      <x:c r="Z100" s="46" t="str">
        <x:v>Fit gauge, torque, temperature, stop-position and misuse review</x:v>
      </x:c>
      <x:c r="AA100" s="46" t="str">
        <x:v>Exclude gas, heating, pressure, mains-isolation and safety controls; specialist approval only</x:v>
      </x:c>
      <x:c r="AB100" s="46" t="str">
        <x:v>GPSR + replacement-part specialist risk assessment</x:v>
      </x:c>
      <x:c r="AC100" s="52" t="n">
        <x:v>5</x:v>
      </x:c>
      <x:c r="AD100" s="46" t="str">
        <x:v>No</x:v>
      </x:c>
      <x:c r="AE100" s="46" t="str">
        <x:v>No</x:v>
      </x:c>
      <x:c r="AF100" s="46" t="str">
        <x:v>Accessory only</x:v>
      </x:c>
      <x:c r="AG100" s="46" t="str">
        <x:v>Yes—test</x:v>
      </x:c>
      <x:c r="AH100" s="46" t="str">
        <x:v>Local only</x:v>
      </x:c>
      <x:c r="AI100" s="46" t="str">
        <x:v>Case-specific CAD; IP and product-liability review</x:v>
      </x:c>
      <x:c r="AJ100" s="46" t="str">
        <x:v>Case-by-case authorization/rights review</x:v>
      </x:c>
      <x:c r="AK100" s="50" t="n">
        <x:v>19.9</x:v>
      </x:c>
      <x:c r="AL100" s="50" t="n">
        <x:f>'Unit Economics'!R100</x:f>
        <x:v>21.620340000000002</x:v>
      </x:c>
      <x:c r="AM100" s="50" t="n">
        <x:f>'Unit Economics'!V100</x:f>
        <x:v>64.855</x:v>
      </x:c>
      <x:c r="AN100" s="54" t="n">
        <x:f>'Unit Economics'!Y100</x:f>
        <x:v>0.5532965137614679</x:v>
      </x:c>
      <x:c r="AO100" s="48" t="n">
        <x:f>ROUND(H100*Assumptions!$B$39+I100*20*Assumptions!$B$40+J100*20*Assumptions!$B$41+K100*20*Assumptions!$B$42+L100*20*Assumptions!$B$43+(6-AC100)*20*Assumptions!$B$44,1)</x:f>
        <x:v>68.5</x:v>
      </x:c>
      <x:c r="AP100" s="46" t="str">
        <x:f>IF(OR(AC100&gt;=4,AD100="Yes",AE100="Yes",AF100="Complete electrical"),"Specialist / Hold",IF(AND(AO100&gt;=92,AH100="Ready",AC100&lt;=2),"Wave 1",IF(AO100&gt;=82,"Wave 2","Wave 3")))</x:f>
        <x:v>Specialist / Hold</x:v>
      </x:c>
      <x:c r="AQ100" s="46" t="str">
        <x:v>S10; S11; S16; S25; S29; S10; S29</x:v>
      </x:c>
      <x:c r="AR100" s="46" t="str">
        <x:v>Backlog</x:v>
      </x:c>
      <x:c r="AS100" s="46" t="str">
        <x:v>Create red-line exclusion policy and specialist review form</x:v>
      </x:c>
      <x:c r="AT100" s="46" t="str"/>
    </x:row>
    <x:row r="101" ht="42" customHeight="1">
      <x:c r="A101" s="46" t="str">
        <x:v>SKU-100</x:v>
      </x:c>
      <x:c r="B101" s="46" t="str">
        <x:v>Modular large geometric lampshade</x:v>
      </x:c>
      <x:c r="C101" s="46" t="str">
        <x:v>Passive lampshades &amp; light diffusers</x:v>
      </x:c>
      <x:c r="D101" s="46" t="n">
        <x:v>12</x:v>
      </x:c>
      <x:c r="E101" s="46" t="str">
        <x:v>Assemble a large shade from printer-sized panels and a standardized holder ring.</x:v>
      </x:c>
      <x:c r="F101" s="46" t="str">
        <x:v>Premium interiors and hospitality</x:v>
      </x:c>
      <x:c r="G101" s="46" t="str">
        <x:v>Nature-aligned lighting and sculptural/sensory decor create demand for distinctive passive light components.</x:v>
      </x:c>
      <x:c r="H101" s="52" t="n">
        <x:v>81</x:v>
      </x:c>
      <x:c r="I101" s="52" t="n">
        <x:v>5</x:v>
      </x:c>
      <x:c r="J101" s="52" t="n">
        <x:v>5</x:v>
      </x:c>
      <x:c r="K101" s="52" t="n">
        <x:v>1</x:v>
      </x:c>
      <x:c r="L101" s="52" t="n">
        <x:v>2</x:v>
      </x:c>
      <x:c r="M101" s="52" t="n">
        <x:v>235</x:v>
      </x:c>
      <x:c r="N101" s="52" t="n">
        <x:v>235</x:v>
      </x:c>
      <x:c r="O101" s="52" t="n">
        <x:v>190</x:v>
      </x:c>
      <x:c r="P101" s="46" t="str">
        <x:v>M</x:v>
      </x:c>
      <x:c r="Q101" s="46" t="str">
        <x:v>Multi-panel assembly + holder ring</x:v>
      </x:c>
      <x:c r="R101" s="46" t="str">
        <x:v>PETG</x:v>
      </x:c>
      <x:c r="S101" s="46" t="str">
        <x:v>Certified holder and fasteners</x:v>
      </x:c>
      <x:c r="T101" s="46" t="str">
        <x:v>Core 250 mm</x:v>
      </x:c>
      <x:c r="U101" s="46" t="str">
        <x:v>No</x:v>
      </x:c>
      <x:c r="V101" s="46" t="str">
        <x:v>Optional</x:v>
      </x:c>
      <x:c r="W101" s="52" t="n">
        <x:v>5</x:v>
      </x:c>
      <x:c r="X101" s="46" t="str">
        <x:v>Final dimensions, holder, LED specification, style</x:v>
      </x:c>
      <x:c r="Y101" s="46" t="str">
        <x:v>Panel count, joints, ventilation, ring, assembly locks</x:v>
      </x:c>
      <x:c r="Z101" s="46" t="str">
        <x:v>Assembly proof, heat/clearance, panel retention and long-duration test</x:v>
      </x:c>
      <x:c r="AA101" s="46" t="str">
        <x:v>Passive component; professional local assembly; LED-only specified system</x:v>
      </x:c>
      <x:c r="AB101" s="46" t="str">
        <x:v>GPSR + passive-lighting specialist validation</x:v>
      </x:c>
      <x:c r="AC101" s="52" t="n">
        <x:v>5</x:v>
      </x:c>
      <x:c r="AD101" s="46" t="str">
        <x:v>No</x:v>
      </x:c>
      <x:c r="AE101" s="46" t="str">
        <x:v>No</x:v>
      </x:c>
      <x:c r="AF101" s="46" t="str">
        <x:v>Passive component</x:v>
      </x:c>
      <x:c r="AG101" s="46" t="str">
        <x:v>Yes—test</x:v>
      </x:c>
      <x:c r="AH101" s="46" t="str">
        <x:v>Local only</x:v>
      </x:c>
      <x:c r="AI101" s="46" t="str">
        <x:v>Own engineered design</x:v>
      </x:c>
      <x:c r="AJ101" s="46" t="str">
        <x:v>No—own design</x:v>
      </x:c>
      <x:c r="AK101" s="50" t="n">
        <x:v>19.9</x:v>
      </x:c>
      <x:c r="AL101" s="50" t="n">
        <x:f>'Unit Economics'!R101</x:f>
        <x:v>85.155</x:v>
      </x:c>
      <x:c r="AM101" s="50" t="n">
        <x:f>'Unit Economics'!V101</x:f>
        <x:v>253.47</x:v>
      </x:c>
      <x:c r="AN101" s="54" t="n">
        <x:f>'Unit Economics'!Y101</x:f>
        <x:v>0.5502112676056338</x:v>
      </x:c>
      <x:c r="AO101" s="48" t="n">
        <x:f>ROUND(H101*Assumptions!$B$39+I101*20*Assumptions!$B$40+J101*20*Assumptions!$B$41+K101*20*Assumptions!$B$42+L101*20*Assumptions!$B$43+(6-AC101)*20*Assumptions!$B$44,1)</x:f>
        <x:v>68.3</x:v>
      </x:c>
      <x:c r="AP101" s="46" t="str">
        <x:f>IF(OR(AC101&gt;=4,AD101="Yes",AE101="Yes",AF101="Complete electrical"),"Specialist / Hold",IF(AND(AO101&gt;=92,AH101="Ready",AC101&lt;=2),"Wave 1",IF(AO101&gt;=82,"Wave 2","Wave 3")))</x:f>
        <x:v>Specialist / Hold</x:v>
      </x:c>
      <x:c r="AQ101" s="46" t="str">
        <x:v>S02; S11; S15; S19; S20; S28</x:v>
      </x:c>
      <x:c r="AR101" s="46" t="str">
        <x:v>Backlog</x:v>
      </x:c>
      <x:c r="AS101" s="46" t="str">
        <x:v>Specialist design review and assembly validation</x:v>
      </x:c>
      <x:c r="AT101" s="46" t="str"/>
    </x:row>
  </x:sheetData>
  <x:conditionalFormatting sqref="AO2:AO101">
    <x:cfRule type="colorScale" priority="1">
      <x:colorScale>
        <x:cfvo type="min"/>
        <x:cfvo type="percentile" val="50"/>
        <x:cfvo type="max"/>
        <x:color rgb="FFFBE8E7"/>
        <x:color rgb="FFFFF4D6"/>
        <x:color rgb="FFE6F4ED"/>
      </x:colorScale>
    </x:cfRule>
  </x:conditionalFormatting>
  <x:conditionalFormatting sqref="AC2:AC101">
    <x:cfRule type="colorScale" priority="2">
      <x:colorScale>
        <x:cfvo type="min"/>
        <x:cfvo type="percentile" val="50"/>
        <x:cfvo type="max"/>
        <x:color rgb="FFE6F4ED"/>
        <x:color rgb="FFFFF4D6"/>
        <x:color rgb="FFFBE8E7"/>
      </x:colorScale>
    </x:cfRule>
  </x:conditionalFormatting>
  <x:conditionalFormatting sqref="AN2:AN101">
    <x:cfRule type="colorScale" priority="3">
      <x:colorScale>
        <x:cfvo type="min"/>
        <x:cfvo type="percentile" val="50"/>
        <x:cfvo type="max"/>
        <x:color rgb="FFFBE8E7"/>
        <x:color rgb="FFFFF4D6"/>
        <x:color rgb="FFE6F4ED"/>
      </x:colorScale>
    </x:cfRule>
  </x:conditionalFormatting>
  <x:conditionalFormatting sqref="AP2:AP101">
    <x:cfRule type="expression" dxfId="0" priority="4">
      <x:formula>$AP2="Wave 1"</x:formula>
    </x:cfRule>
    <x:cfRule type="expression" dxfId="1" priority="5">
      <x:formula>$AP2="Wave 2"</x:formula>
    </x:cfRule>
    <x:cfRule type="expression" dxfId="2" priority="6">
      <x:formula>$AP2="Wave 3"</x:formula>
    </x:cfRule>
    <x:cfRule type="expression" dxfId="3" priority="7">
      <x:formula>$AP2="Specialist / Hold"</x:formula>
    </x:cfRule>
  </x:conditionalFormatting>
  <x:conditionalFormatting sqref="AH2:AH101">
    <x:cfRule type="expression" dxfId="4" priority="8">
      <x:formula>$AH2="Ready"</x:formula>
    </x:cfRule>
    <x:cfRule type="expression" dxfId="5" priority="9">
      <x:formula>$AH2="Guided"</x:formula>
    </x:cfRule>
    <x:cfRule type="expression" dxfId="6" priority="10">
      <x:formula>$AH2="Local only"</x:formula>
    </x:cfRule>
  </x:conditionalFormatting>
  <x:conditionalFormatting sqref="AR2:AR101">
    <x:cfRule type="expression" dxfId="7" priority="11">
      <x:formula>$AR2="Selected"</x:formula>
    </x:cfRule>
    <x:cfRule type="expression" dxfId="8" priority="12">
      <x:formula>$AR2="Hold"</x:formula>
    </x:cfRule>
    <x:cfRule type="expression" dxfId="9" priority="13">
      <x:formula>$AR2="Prototype"</x:formula>
    </x:cfRule>
    <x:cfRule type="expression" dxfId="10" priority="14">
      <x:formula>$AR2="Validated"</x:formula>
    </x:cfRule>
    <x:cfRule type="expression" dxfId="11" priority="15">
      <x:formula>$AR2="Live"</x:formula>
    </x:cfRule>
  </x:conditionalFormatting>
  <x:dataValidations count="4">
    <x:dataValidation type="list" sqref="P2:P101">
      <x:formula1>"S,M,L,XL"</x:formula1>
    </x:dataValidation>
    <x:dataValidation type="list" sqref="R2:R101">
      <x:formula1>"PLA,PETG,ASA,TPU,PC Blend,PA / Engineering"</x:formula1>
    </x:dataValidation>
    <x:dataValidation type="list" sqref="AH2:AH101">
      <x:formula1>"Ready,Guided,Local only"</x:formula1>
    </x:dataValidation>
    <x:dataValidation type="list" sqref="AR2:AR101">
      <x:formula1>"Backlog,Selected,Concept,Prototype,Validated,Live,Hold"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ae23ef27804e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10" hidden="0" customWidth="1"/>
    <x:col min="4" max="4" width="12" hidden="0" customWidth="1"/>
    <x:col min="5" max="5" width="10" hidden="0" customWidth="1"/>
    <x:col min="6" max="6" width="12" hidden="0" customWidth="1"/>
    <x:col min="7" max="7" width="13" hidden="0" customWidth="1"/>
    <x:col min="8" max="8" width="12" hidden="0" customWidth="1"/>
    <x:col min="9" max="9" width="14" hidden="0" customWidth="1"/>
    <x:col min="10" max="10" width="12" hidden="0" customWidth="1"/>
    <x:col min="11" max="11" width="10" hidden="0" customWidth="1"/>
    <x:col min="12" max="12" width="13" hidden="0" customWidth="1"/>
    <x:col min="13" max="13" width="13" hidden="0" customWidth="1"/>
    <x:col min="14" max="14" width="12" hidden="0" customWidth="1"/>
    <x:col min="15" max="15" width="13" hidden="0" customWidth="1"/>
    <x:col min="16" max="16" width="12" hidden="0" customWidth="1"/>
    <x:col min="17" max="17" width="12" hidden="0" customWidth="1"/>
    <x:col min="18" max="18" width="15" hidden="0" customWidth="1"/>
    <x:col min="19" max="19" width="15" hidden="0" customWidth="1"/>
    <x:col min="20" max="20" width="18" hidden="0" customWidth="1"/>
    <x:col min="21" max="21" width="9" hidden="0" customWidth="1"/>
    <x:col min="22" max="22" width="18" hidden="0" customWidth="1"/>
    <x:col min="23" max="23" width="14" hidden="0" customWidth="1"/>
    <x:col min="24" max="24" width="13" hidden="0" customWidth="1"/>
    <x:col min="25" max="25" width="17" hidden="0" customWidth="1"/>
    <x:col min="26" max="26" width="15" hidden="0" customWidth="1"/>
    <x:col min="27" max="27" width="30" hidden="0" customWidth="1"/>
  </x:cols>
  <x:sheetData>
    <x:row r="1" ht="34" customHeight="1">
      <x:c r="A1" s="42" t="str">
        <x:v>SKU ID</x:v>
      </x:c>
      <x:c r="B1" s="42" t="str">
        <x:v>Product</x:v>
      </x:c>
      <x:c r="C1" s="42" t="str">
        <x:v>Size Class</x:v>
      </x:c>
      <x:c r="D1" s="42" t="str">
        <x:v>Material</x:v>
      </x:c>
      <x:c r="E1" s="42" t="str">
        <x:v>Mass g</x:v>
      </x:c>
      <x:c r="F1" s="42" t="str">
        <x:v>Print Time h</x:v>
      </x:c>
      <x:c r="G1" s="42" t="str">
        <x:v>Hands-on min</x:v>
      </x:c>
      <x:c r="H1" s="42" t="str">
        <x:v>Packaging €</x:v>
      </x:c>
      <x:c r="I1" s="42" t="str">
        <x:v>Royalty / License €</x:v>
      </x:c>
      <x:c r="J1" s="42" t="str">
        <x:v>Material €/kg</x:v>
      </x:c>
      <x:c r="K1" s="42" t="str">
        <x:v>Waste %</x:v>
      </x:c>
      <x:c r="L1" s="42" t="str">
        <x:v>Material Cost €</x:v>
      </x:c>
      <x:c r="M1" s="42" t="str">
        <x:v>Machine Class</x:v>
      </x:c>
      <x:c r="N1" s="42" t="str">
        <x:v>Machine €/h</x:v>
      </x:c>
      <x:c r="O1" s="42" t="str">
        <x:v>Machine Cost €</x:v>
      </x:c>
      <x:c r="P1" s="42" t="str">
        <x:v>Labor Cost €</x:v>
      </x:c>
      <x:c r="Q1" s="42" t="str">
        <x:v>QA Reserve €</x:v>
      </x:c>
      <x:c r="R1" s="42" t="str">
        <x:v>Total Local COGS €</x:v>
      </x:c>
      <x:c r="S1" s="42" t="str">
        <x:v>Minimum Net Price €</x:v>
      </x:c>
      <x:c r="T1" s="42" t="str">
        <x:v>Recommended Net Price €</x:v>
      </x:c>
      <x:c r="U1" s="42" t="str">
        <x:v>VAT %</x:v>
      </x:c>
      <x:c r="V1" s="42" t="str">
        <x:v>Recommended Gross Price €</x:v>
      </x:c>
      <x:c r="W1" s="42" t="str">
        <x:v>Transaction Fee €</x:v>
      </x:c>
      <x:c r="X1" s="42" t="str">
        <x:v>Contribution €</x:v>
      </x:c>
      <x:c r="Y1" s="42" t="str">
        <x:v>Contribution Margin</x:v>
      </x:c>
      <x:c r="Z1" s="42" t="str">
        <x:v>Digital SKU Price €</x:v>
      </x:c>
      <x:c r="AA1" s="42" t="str">
        <x:v>Commercial Notes</x:v>
      </x:c>
    </x:row>
    <x:row r="2" ht="28" customHeight="1">
      <x:c r="A2" s="46" t="str">
        <x:v>SKU-001</x:v>
      </x:c>
      <x:c r="B2" s="46" t="str">
        <x:v>Exact-fit drawer grid organizer</x:v>
      </x:c>
      <x:c r="C2" s="46" t="str">
        <x:v>M</x:v>
      </x:c>
      <x:c r="D2" s="46" t="str">
        <x:v>PETG</x:v>
      </x:c>
      <x:c r="E2" s="48" t="n">
        <x:v>360</x:v>
      </x:c>
      <x:c r="F2" s="48" t="n">
        <x:v>8.5</x:v>
      </x:c>
      <x:c r="G2" s="48" t="n">
        <x:v>12</x:v>
      </x:c>
      <x:c r="H2" s="50" t="n">
        <x:f>IF(C2="S",Assumptions!$B$19,IF(C2="M",Assumptions!$B$20,IF(C2="L",Assumptions!$B$21,Assumptions!$B$22)))</x:f>
        <x:v>1</x:v>
      </x:c>
      <x:c r="I2" s="50" t="n">
        <x:v>0</x:v>
      </x:c>
      <x:c r="J2" s="50" t="n">
        <x:f>IF(D2="PLA",Assumptions!$B$31,IF(D2="PETG",Assumptions!$B$32,IF(D2="ASA",Assumptions!$B$33,IF(D2="TPU",Assumptions!$B$34,IF(D2="PC Blend",Assumptions!$B$35,Assumptions!$B$36)))))</x:f>
        <x:v>26</x:v>
      </x:c>
      <x:c r="K2" s="54" t="n">
        <x:f>Assumptions!$B$9</x:f>
        <x:v>0.08</x:v>
      </x:c>
      <x:c r="L2" s="50" t="n">
        <x:f>E2/1000*J2*(1+K2)</x:f>
        <x:v>10.1088</x:v>
      </x:c>
      <x:c r="M2" s="46" t="str">
        <x:v>Core</x:v>
      </x:c>
      <x:c r="N2" s="50" t="n">
        <x:f>IF(M2="Core",Assumptions!$B$13,IF(M2="Large",Assumptions!$B$14,IF(M2="Enclosed",Assumptions!$B$15,Assumptions!$B$16)))</x:f>
        <x:v>0.75</x:v>
      </x:c>
      <x:c r="O2" s="50" t="n">
        <x:f>F2*N2</x:f>
        <x:v>6.375</x:v>
      </x:c>
      <x:c r="P2" s="50" t="n">
        <x:f>G2/60*Assumptions!$B$8</x:f>
        <x:v>6.4</x:v>
      </x:c>
      <x:c r="Q2" s="50" t="n">
        <x:f>(H2+I2+L2+O2+P2)*Assumptions!$B$10</x:f>
        <x:v>1.19419</x:v>
      </x:c>
      <x:c r="R2" s="50" t="n">
        <x:f>H2+I2+L2+O2+P2+Q2</x:f>
        <x:v>25.07799</x:v>
      </x:c>
      <x:c r="S2" s="50" t="n">
        <x:f>IF(C2="S",Assumptions!$B$25,IF(C2="M",Assumptions!$B$26,IF(C2="L",Assumptions!$B$27,Assumptions!$B$28)))</x:f>
        <x:v>12.5</x:v>
      </x:c>
      <x:c r="T2" s="50" t="n">
        <x:f>ROUNDUP(MAX(S2,R2/(1-Assumptions!$B$6-Assumptions!$B$7))*2,0)/2</x:f>
        <x:v>63</x:v>
      </x:c>
      <x:c r="U2" s="54" t="n">
        <x:f>Assumptions!$B$5</x:f>
        <x:v>0.19</x:v>
      </x:c>
      <x:c r="V2" s="50" t="n">
        <x:f>T2*(1+U2)</x:f>
        <x:v>74.97</x:v>
      </x:c>
      <x:c r="W2" s="50" t="n">
        <x:f>T2*Assumptions!$B$6</x:f>
        <x:v>3.1500000000000004</x:v>
      </x:c>
      <x:c r="X2" s="50" t="n">
        <x:f>T2-R2-W2</x:f>
        <x:v>34.77201</x:v>
      </x:c>
      <x:c r="Y2" s="54" t="n">
        <x:f>IFERROR(X2/T2,0)</x:f>
        <x:v>0.5519366666666667</x:v>
      </x:c>
      <x:c r="Z2" s="50" t="n">
        <x:v>12.9</x:v>
      </x:c>
      <x:c r="AA2" s="46" t="str"/>
    </x:row>
    <x:row r="3" ht="28" customHeight="1">
      <x:c r="A3" s="46" t="str">
        <x:v>SKU-002</x:v>
      </x:c>
      <x:c r="B3" s="46" t="str">
        <x:v>Modular desktop tray system</x:v>
      </x:c>
      <x:c r="C3" s="46" t="str">
        <x:v>M</x:v>
      </x:c>
      <x:c r="D3" s="46" t="str">
        <x:v>PLA</x:v>
      </x:c>
      <x:c r="E3" s="48" t="n">
        <x:v>250</x:v>
      </x:c>
      <x:c r="F3" s="48" t="n">
        <x:v>5.8</x:v>
      </x:c>
      <x:c r="G3" s="48" t="n">
        <x:v>8</x:v>
      </x:c>
      <x:c r="H3" s="50" t="n">
        <x:f>IF(C3="S",Assumptions!$B$19,IF(C3="M",Assumptions!$B$20,IF(C3="L",Assumptions!$B$21,Assumptions!$B$22)))</x:f>
        <x:v>1</x:v>
      </x:c>
      <x:c r="I3" s="50" t="n">
        <x:v>0</x:v>
      </x:c>
      <x:c r="J3" s="50" t="n">
        <x:f>IF(D3="PLA",Assumptions!$B$31,IF(D3="PETG",Assumptions!$B$32,IF(D3="ASA",Assumptions!$B$33,IF(D3="TPU",Assumptions!$B$34,IF(D3="PC Blend",Assumptions!$B$35,Assumptions!$B$36)))))</x:f>
        <x:v>22</x:v>
      </x:c>
      <x:c r="K3" s="54" t="n">
        <x:f>Assumptions!$B$9</x:f>
        <x:v>0.08</x:v>
      </x:c>
      <x:c r="L3" s="50" t="n">
        <x:f>E3/1000*J3*(1+K3)</x:f>
        <x:v>5.94</x:v>
      </x:c>
      <x:c r="M3" s="46" t="str">
        <x:v>Core</x:v>
      </x:c>
      <x:c r="N3" s="50" t="n">
        <x:f>IF(M3="Core",Assumptions!$B$13,IF(M3="Large",Assumptions!$B$14,IF(M3="Enclosed",Assumptions!$B$15,Assumptions!$B$16)))</x:f>
        <x:v>0.75</x:v>
      </x:c>
      <x:c r="O3" s="50" t="n">
        <x:f>F3*N3</x:f>
        <x:v>4.35</x:v>
      </x:c>
      <x:c r="P3" s="50" t="n">
        <x:f>G3/60*Assumptions!$B$8</x:f>
        <x:v>4.266666666666667</x:v>
      </x:c>
      <x:c r="Q3" s="50" t="n">
        <x:f>(H3+I3+L3+O3+P3)*Assumptions!$B$10</x:f>
        <x:v>0.7778333333333333</x:v>
      </x:c>
      <x:c r="R3" s="50" t="n">
        <x:f>H3+I3+L3+O3+P3+Q3</x:f>
        <x:v>16.3345</x:v>
      </x:c>
      <x:c r="S3" s="50" t="n">
        <x:f>IF(C3="S",Assumptions!$B$25,IF(C3="M",Assumptions!$B$26,IF(C3="L",Assumptions!$B$27,Assumptions!$B$28)))</x:f>
        <x:v>12.5</x:v>
      </x:c>
      <x:c r="T3" s="50" t="n">
        <x:f>ROUNDUP(MAX(S3,R3/(1-Assumptions!$B$6-Assumptions!$B$7))*2,0)/2</x:f>
        <x:v>41</x:v>
      </x:c>
      <x:c r="U3" s="54" t="n">
        <x:f>Assumptions!$B$5</x:f>
        <x:v>0.19</x:v>
      </x:c>
      <x:c r="V3" s="50" t="n">
        <x:f>T3*(1+U3)</x:f>
        <x:v>48.79</x:v>
      </x:c>
      <x:c r="W3" s="50" t="n">
        <x:f>T3*Assumptions!$B$6</x:f>
        <x:v>2.0500000000000003</x:v>
      </x:c>
      <x:c r="X3" s="50" t="n">
        <x:f>T3-R3-W3</x:f>
        <x:v>22.6155</x:v>
      </x:c>
      <x:c r="Y3" s="54" t="n">
        <x:f>IFERROR(X3/T3,0)</x:f>
        <x:v>0.5515975609756097</x:v>
      </x:c>
      <x:c r="Z3" s="50" t="n">
        <x:v>9.9</x:v>
      </x:c>
      <x:c r="AA3" s="46" t="str"/>
    </x:row>
    <x:row r="4" ht="28" customHeight="1">
      <x:c r="A4" s="46" t="str">
        <x:v>SKU-003</x:v>
      </x:c>
      <x:c r="B4" s="46" t="str">
        <x:v>Desk-edge cable clip kit</x:v>
      </x:c>
      <x:c r="C4" s="46" t="str">
        <x:v>S</x:v>
      </x:c>
      <x:c r="D4" s="46" t="str">
        <x:v>PETG</x:v>
      </x:c>
      <x:c r="E4" s="48" t="n">
        <x:v>45</x:v>
      </x:c>
      <x:c r="F4" s="48" t="n">
        <x:v>1.2</x:v>
      </x:c>
      <x:c r="G4" s="48" t="n">
        <x:v>5</x:v>
      </x:c>
      <x:c r="H4" s="50" t="n">
        <x:f>IF(C4="S",Assumptions!$B$19,IF(C4="M",Assumptions!$B$20,IF(C4="L",Assumptions!$B$21,Assumptions!$B$22)))</x:f>
        <x:v>0.6</x:v>
      </x:c>
      <x:c r="I4" s="50" t="n">
        <x:v>0</x:v>
      </x:c>
      <x:c r="J4" s="50" t="n">
        <x:f>IF(D4="PLA",Assumptions!$B$31,IF(D4="PETG",Assumptions!$B$32,IF(D4="ASA",Assumptions!$B$33,IF(D4="TPU",Assumptions!$B$34,IF(D4="PC Blend",Assumptions!$B$35,Assumptions!$B$36)))))</x:f>
        <x:v>26</x:v>
      </x:c>
      <x:c r="K4" s="54" t="n">
        <x:f>Assumptions!$B$9</x:f>
        <x:v>0.08</x:v>
      </x:c>
      <x:c r="L4" s="50" t="n">
        <x:f>E4/1000*J4*(1+K4)</x:f>
        <x:v>1.2636</x:v>
      </x:c>
      <x:c r="M4" s="46" t="str">
        <x:v>Core</x:v>
      </x:c>
      <x:c r="N4" s="50" t="n">
        <x:f>IF(M4="Core",Assumptions!$B$13,IF(M4="Large",Assumptions!$B$14,IF(M4="Enclosed",Assumptions!$B$15,Assumptions!$B$16)))</x:f>
        <x:v>0.75</x:v>
      </x:c>
      <x:c r="O4" s="50" t="n">
        <x:f>F4*N4</x:f>
        <x:v>0.8999999999999999</x:v>
      </x:c>
      <x:c r="P4" s="50" t="n">
        <x:f>G4/60*Assumptions!$B$8</x:f>
        <x:v>2.6666666666666665</x:v>
      </x:c>
      <x:c r="Q4" s="50" t="n">
        <x:f>(H4+I4+L4+O4+P4)*Assumptions!$B$10</x:f>
        <x:v>0.27151333333333333</x:v>
      </x:c>
      <x:c r="R4" s="50" t="n">
        <x:f>H4+I4+L4+O4+P4+Q4</x:f>
        <x:v>5.701779999999999</x:v>
      </x:c>
      <x:c r="S4" s="50" t="n">
        <x:f>IF(C4="S",Assumptions!$B$25,IF(C4="M",Assumptions!$B$26,IF(C4="L",Assumptions!$B$27,Assumptions!$B$28)))</x:f>
        <x:v>7.5</x:v>
      </x:c>
      <x:c r="T4" s="50" t="n">
        <x:f>ROUNDUP(MAX(S4,R4/(1-Assumptions!$B$6-Assumptions!$B$7))*2,0)/2</x:f>
        <x:v>14.5</x:v>
      </x:c>
      <x:c r="U4" s="54" t="n">
        <x:f>Assumptions!$B$5</x:f>
        <x:v>0.19</x:v>
      </x:c>
      <x:c r="V4" s="50" t="n">
        <x:f>T4*(1+U4)</x:f>
        <x:v>17.255</x:v>
      </x:c>
      <x:c r="W4" s="50" t="n">
        <x:f>T4*Assumptions!$B$6</x:f>
        <x:v>0.7250000000000001</x:v>
      </x:c>
      <x:c r="X4" s="50" t="n">
        <x:f>T4-R4-W4</x:f>
        <x:v>8.073220000000001</x:v>
      </x:c>
      <x:c r="Y4" s="54" t="n">
        <x:f>IFERROR(X4/T4,0)</x:f>
        <x:v>0.5567737931034483</x:v>
      </x:c>
      <x:c r="Z4" s="50" t="n">
        <x:v>5.9</x:v>
      </x:c>
      <x:c r="AA4" s="46" t="str"/>
    </x:row>
    <x:row r="5" ht="28" customHeight="1">
      <x:c r="A5" s="46" t="str">
        <x:v>SKU-004</x:v>
      </x:c>
      <x:c r="B5" s="46" t="str">
        <x:v>Charging-cable docking bar</x:v>
      </x:c>
      <x:c r="C5" s="46" t="str">
        <x:v>M</x:v>
      </x:c>
      <x:c r="D5" s="46" t="str">
        <x:v>PETG</x:v>
      </x:c>
      <x:c r="E5" s="48" t="n">
        <x:v>95</x:v>
      </x:c>
      <x:c r="F5" s="48" t="n">
        <x:v>2.5</x:v>
      </x:c>
      <x:c r="G5" s="48" t="n">
        <x:v>8</x:v>
      </x:c>
      <x:c r="H5" s="50" t="n">
        <x:f>IF(C5="S",Assumptions!$B$19,IF(C5="M",Assumptions!$B$20,IF(C5="L",Assumptions!$B$21,Assumptions!$B$22)))</x:f>
        <x:v>1</x:v>
      </x:c>
      <x:c r="I5" s="50" t="n">
        <x:v>0</x:v>
      </x:c>
      <x:c r="J5" s="50" t="n">
        <x:f>IF(D5="PLA",Assumptions!$B$31,IF(D5="PETG",Assumptions!$B$32,IF(D5="ASA",Assumptions!$B$33,IF(D5="TPU",Assumptions!$B$34,IF(D5="PC Blend",Assumptions!$B$35,Assumptions!$B$36)))))</x:f>
        <x:v>26</x:v>
      </x:c>
      <x:c r="K5" s="54" t="n">
        <x:f>Assumptions!$B$9</x:f>
        <x:v>0.08</x:v>
      </x:c>
      <x:c r="L5" s="50" t="n">
        <x:f>E5/1000*J5*(1+K5)</x:f>
        <x:v>2.6676</x:v>
      </x:c>
      <x:c r="M5" s="46" t="str">
        <x:v>Flexible</x:v>
      </x:c>
      <x:c r="N5" s="50" t="n">
        <x:f>IF(M5="Core",Assumptions!$B$13,IF(M5="Large",Assumptions!$B$14,IF(M5="Enclosed",Assumptions!$B$15,Assumptions!$B$16)))</x:f>
        <x:v>0.85</x:v>
      </x:c>
      <x:c r="O5" s="50" t="n">
        <x:f>F5*N5</x:f>
        <x:v>2.125</x:v>
      </x:c>
      <x:c r="P5" s="50" t="n">
        <x:f>G5/60*Assumptions!$B$8</x:f>
        <x:v>4.266666666666667</x:v>
      </x:c>
      <x:c r="Q5" s="50" t="n">
        <x:f>(H5+I5+L5+O5+P5)*Assumptions!$B$10</x:f>
        <x:v>0.5029633333333333</x:v>
      </x:c>
      <x:c r="R5" s="50" t="n">
        <x:f>H5+I5+L5+O5+P5+Q5</x:f>
        <x:v>10.56223</x:v>
      </x:c>
      <x:c r="S5" s="50" t="n">
        <x:f>IF(C5="S",Assumptions!$B$25,IF(C5="M",Assumptions!$B$26,IF(C5="L",Assumptions!$B$27,Assumptions!$B$28)))</x:f>
        <x:v>12.5</x:v>
      </x:c>
      <x:c r="T5" s="50" t="n">
        <x:f>ROUNDUP(MAX(S5,R5/(1-Assumptions!$B$6-Assumptions!$B$7))*2,0)/2</x:f>
        <x:v>26.5</x:v>
      </x:c>
      <x:c r="U5" s="54" t="n">
        <x:f>Assumptions!$B$5</x:f>
        <x:v>0.19</x:v>
      </x:c>
      <x:c r="V5" s="50" t="n">
        <x:f>T5*(1+U5)</x:f>
        <x:v>31.535</x:v>
      </x:c>
      <x:c r="W5" s="50" t="n">
        <x:f>T5*Assumptions!$B$6</x:f>
        <x:v>1.3250000000000002</x:v>
      </x:c>
      <x:c r="X5" s="50" t="n">
        <x:f>T5-R5-W5</x:f>
        <x:v>14.612770000000001</x:v>
      </x:c>
      <x:c r="Y5" s="54" t="n">
        <x:f>IFERROR(X5/T5,0)</x:f>
        <x:v>0.551425283018868</x:v>
      </x:c>
      <x:c r="Z5" s="50" t="n">
        <x:v>8.9</x:v>
      </x:c>
      <x:c r="AA5" s="46" t="str"/>
    </x:row>
    <x:row r="6" ht="28" customHeight="1">
      <x:c r="A6" s="46" t="str">
        <x:v>SKU-005</x:v>
      </x:c>
      <x:c r="B6" s="46" t="str">
        <x:v>Adjustable passive phone stand</x:v>
      </x:c>
      <x:c r="C6" s="46" t="str">
        <x:v>M</x:v>
      </x:c>
      <x:c r="D6" s="46" t="str">
        <x:v>PETG</x:v>
      </x:c>
      <x:c r="E6" s="48" t="n">
        <x:v>130</x:v>
      </x:c>
      <x:c r="F6" s="48" t="n">
        <x:v>3.2</x:v>
      </x:c>
      <x:c r="G6" s="48" t="n">
        <x:v>8</x:v>
      </x:c>
      <x:c r="H6" s="50" t="n">
        <x:f>IF(C6="S",Assumptions!$B$19,IF(C6="M",Assumptions!$B$20,IF(C6="L",Assumptions!$B$21,Assumptions!$B$22)))</x:f>
        <x:v>1</x:v>
      </x:c>
      <x:c r="I6" s="50" t="n">
        <x:v>0</x:v>
      </x:c>
      <x:c r="J6" s="50" t="n">
        <x:f>IF(D6="PLA",Assumptions!$B$31,IF(D6="PETG",Assumptions!$B$32,IF(D6="ASA",Assumptions!$B$33,IF(D6="TPU",Assumptions!$B$34,IF(D6="PC Blend",Assumptions!$B$35,Assumptions!$B$36)))))</x:f>
        <x:v>26</x:v>
      </x:c>
      <x:c r="K6" s="54" t="n">
        <x:f>Assumptions!$B$9</x:f>
        <x:v>0.08</x:v>
      </x:c>
      <x:c r="L6" s="50" t="n">
        <x:f>E6/1000*J6*(1+K6)</x:f>
        <x:v>3.6504000000000003</x:v>
      </x:c>
      <x:c r="M6" s="46" t="str">
        <x:v>Core</x:v>
      </x:c>
      <x:c r="N6" s="50" t="n">
        <x:f>IF(M6="Core",Assumptions!$B$13,IF(M6="Large",Assumptions!$B$14,IF(M6="Enclosed",Assumptions!$B$15,Assumptions!$B$16)))</x:f>
        <x:v>0.75</x:v>
      </x:c>
      <x:c r="O6" s="50" t="n">
        <x:f>F6*N6</x:f>
        <x:v>2.4000000000000004</x:v>
      </x:c>
      <x:c r="P6" s="50" t="n">
        <x:f>G6/60*Assumptions!$B$8</x:f>
        <x:v>4.266666666666667</x:v>
      </x:c>
      <x:c r="Q6" s="50" t="n">
        <x:f>(H6+I6+L6+O6+P6)*Assumptions!$B$10</x:f>
        <x:v>0.5658533333333334</x:v>
      </x:c>
      <x:c r="R6" s="50" t="n">
        <x:f>H6+I6+L6+O6+P6+Q6</x:f>
        <x:v>11.88292</x:v>
      </x:c>
      <x:c r="S6" s="50" t="n">
        <x:f>IF(C6="S",Assumptions!$B$25,IF(C6="M",Assumptions!$B$26,IF(C6="L",Assumptions!$B$27,Assumptions!$B$28)))</x:f>
        <x:v>12.5</x:v>
      </x:c>
      <x:c r="T6" s="50" t="n">
        <x:f>ROUNDUP(MAX(S6,R6/(1-Assumptions!$B$6-Assumptions!$B$7))*2,0)/2</x:f>
        <x:v>30</x:v>
      </x:c>
      <x:c r="U6" s="54" t="n">
        <x:f>Assumptions!$B$5</x:f>
        <x:v>0.19</x:v>
      </x:c>
      <x:c r="V6" s="50" t="n">
        <x:f>T6*(1+U6)</x:f>
        <x:v>35.699999999999996</x:v>
      </x:c>
      <x:c r="W6" s="50" t="n">
        <x:f>T6*Assumptions!$B$6</x:f>
        <x:v>1.5</x:v>
      </x:c>
      <x:c r="X6" s="50" t="n">
        <x:f>T6-R6-W6</x:f>
        <x:v>16.61708</x:v>
      </x:c>
      <x:c r="Y6" s="54" t="n">
        <x:f>IFERROR(X6/T6,0)</x:f>
        <x:v>0.5539026666666668</x:v>
      </x:c>
      <x:c r="Z6" s="50" t="n">
        <x:v>8.9</x:v>
      </x:c>
      <x:c r="AA6" s="46" t="str"/>
    </x:row>
    <x:row r="7" ht="28" customHeight="1">
      <x:c r="A7" s="46" t="str">
        <x:v>SKU-006</x:v>
      </x:c>
      <x:c r="B7" s="46" t="str">
        <x:v>Custom lipstick and tube grid</x:v>
      </x:c>
      <x:c r="C7" s="46" t="str">
        <x:v>M</x:v>
      </x:c>
      <x:c r="D7" s="46" t="str">
        <x:v>PETG</x:v>
      </x:c>
      <x:c r="E7" s="48" t="n">
        <x:v>165</x:v>
      </x:c>
      <x:c r="F7" s="48" t="n">
        <x:v>3.9</x:v>
      </x:c>
      <x:c r="G7" s="48" t="n">
        <x:v>7</x:v>
      </x:c>
      <x:c r="H7" s="50" t="n">
        <x:f>IF(C7="S",Assumptions!$B$19,IF(C7="M",Assumptions!$B$20,IF(C7="L",Assumptions!$B$21,Assumptions!$B$22)))</x:f>
        <x:v>1</x:v>
      </x:c>
      <x:c r="I7" s="50" t="n">
        <x:v>0</x:v>
      </x:c>
      <x:c r="J7" s="50" t="n">
        <x:f>IF(D7="PLA",Assumptions!$B$31,IF(D7="PETG",Assumptions!$B$32,IF(D7="ASA",Assumptions!$B$33,IF(D7="TPU",Assumptions!$B$34,IF(D7="PC Blend",Assumptions!$B$35,Assumptions!$B$36)))))</x:f>
        <x:v>26</x:v>
      </x:c>
      <x:c r="K7" s="54" t="n">
        <x:f>Assumptions!$B$9</x:f>
        <x:v>0.08</x:v>
      </x:c>
      <x:c r="L7" s="50" t="n">
        <x:f>E7/1000*J7*(1+K7)</x:f>
        <x:v>4.6332</x:v>
      </x:c>
      <x:c r="M7" s="46" t="str">
        <x:v>Core</x:v>
      </x:c>
      <x:c r="N7" s="50" t="n">
        <x:f>IF(M7="Core",Assumptions!$B$13,IF(M7="Large",Assumptions!$B$14,IF(M7="Enclosed",Assumptions!$B$15,Assumptions!$B$16)))</x:f>
        <x:v>0.75</x:v>
      </x:c>
      <x:c r="O7" s="50" t="n">
        <x:f>F7*N7</x:f>
        <x:v>2.925</x:v>
      </x:c>
      <x:c r="P7" s="50" t="n">
        <x:f>G7/60*Assumptions!$B$8</x:f>
        <x:v>3.7333333333333334</x:v>
      </x:c>
      <x:c r="Q7" s="50" t="n">
        <x:f>(H7+I7+L7+O7+P7)*Assumptions!$B$10</x:f>
        <x:v>0.6145766666666668</x:v>
      </x:c>
      <x:c r="R7" s="50" t="n">
        <x:f>H7+I7+L7+O7+P7+Q7</x:f>
        <x:v>12.90611</x:v>
      </x:c>
      <x:c r="S7" s="50" t="n">
        <x:f>IF(C7="S",Assumptions!$B$25,IF(C7="M",Assumptions!$B$26,IF(C7="L",Assumptions!$B$27,Assumptions!$B$28)))</x:f>
        <x:v>12.5</x:v>
      </x:c>
      <x:c r="T7" s="50" t="n">
        <x:f>ROUNDUP(MAX(S7,R7/(1-Assumptions!$B$6-Assumptions!$B$7))*2,0)/2</x:f>
        <x:v>32.5</x:v>
      </x:c>
      <x:c r="U7" s="54" t="n">
        <x:f>Assumptions!$B$5</x:f>
        <x:v>0.19</x:v>
      </x:c>
      <x:c r="V7" s="50" t="n">
        <x:f>T7*(1+U7)</x:f>
        <x:v>38.675</x:v>
      </x:c>
      <x:c r="W7" s="50" t="n">
        <x:f>T7*Assumptions!$B$6</x:f>
        <x:v>1.625</x:v>
      </x:c>
      <x:c r="X7" s="50" t="n">
        <x:f>T7-R7-W7</x:f>
        <x:v>17.968890000000002</x:v>
      </x:c>
      <x:c r="Y7" s="54" t="n">
        <x:f>IFERROR(X7/T7,0)</x:f>
        <x:v>0.5528889230769232</x:v>
      </x:c>
      <x:c r="Z7" s="50" t="n">
        <x:v>8.9</x:v>
      </x:c>
      <x:c r="AA7" s="46" t="str"/>
    </x:row>
    <x:row r="8" ht="28" customHeight="1">
      <x:c r="A8" s="46" t="str">
        <x:v>SKU-007</x:v>
      </x:c>
      <x:c r="B8" s="46" t="str">
        <x:v>Vertical makeup-palette organizer</x:v>
      </x:c>
      <x:c r="C8" s="46" t="str">
        <x:v>M</x:v>
      </x:c>
      <x:c r="D8" s="46" t="str">
        <x:v>PETG</x:v>
      </x:c>
      <x:c r="E8" s="48" t="n">
        <x:v>245</x:v>
      </x:c>
      <x:c r="F8" s="48" t="n">
        <x:v>5.6</x:v>
      </x:c>
      <x:c r="G8" s="48" t="n">
        <x:v>7</x:v>
      </x:c>
      <x:c r="H8" s="50" t="n">
        <x:f>IF(C8="S",Assumptions!$B$19,IF(C8="M",Assumptions!$B$20,IF(C8="L",Assumptions!$B$21,Assumptions!$B$22)))</x:f>
        <x:v>1</x:v>
      </x:c>
      <x:c r="I8" s="50" t="n">
        <x:v>0</x:v>
      </x:c>
      <x:c r="J8" s="50" t="n">
        <x:f>IF(D8="PLA",Assumptions!$B$31,IF(D8="PETG",Assumptions!$B$32,IF(D8="ASA",Assumptions!$B$33,IF(D8="TPU",Assumptions!$B$34,IF(D8="PC Blend",Assumptions!$B$35,Assumptions!$B$36)))))</x:f>
        <x:v>26</x:v>
      </x:c>
      <x:c r="K8" s="54" t="n">
        <x:f>Assumptions!$B$9</x:f>
        <x:v>0.08</x:v>
      </x:c>
      <x:c r="L8" s="50" t="n">
        <x:f>E8/1000*J8*(1+K8)</x:f>
        <x:v>6.879600000000001</x:v>
      </x:c>
      <x:c r="M8" s="46" t="str">
        <x:v>Core</x:v>
      </x:c>
      <x:c r="N8" s="50" t="n">
        <x:f>IF(M8="Core",Assumptions!$B$13,IF(M8="Large",Assumptions!$B$14,IF(M8="Enclosed",Assumptions!$B$15,Assumptions!$B$16)))</x:f>
        <x:v>0.75</x:v>
      </x:c>
      <x:c r="O8" s="50" t="n">
        <x:f>F8*N8</x:f>
        <x:v>4.199999999999999</x:v>
      </x:c>
      <x:c r="P8" s="50" t="n">
        <x:f>G8/60*Assumptions!$B$8</x:f>
        <x:v>3.7333333333333334</x:v>
      </x:c>
      <x:c r="Q8" s="50" t="n">
        <x:f>(H8+I8+L8+O8+P8)*Assumptions!$B$10</x:f>
        <x:v>0.7906466666666667</x:v>
      </x:c>
      <x:c r="R8" s="50" t="n">
        <x:f>H8+I8+L8+O8+P8+Q8</x:f>
        <x:v>16.60358</x:v>
      </x:c>
      <x:c r="S8" s="50" t="n">
        <x:f>IF(C8="S",Assumptions!$B$25,IF(C8="M",Assumptions!$B$26,IF(C8="L",Assumptions!$B$27,Assumptions!$B$28)))</x:f>
        <x:v>12.5</x:v>
      </x:c>
      <x:c r="T8" s="50" t="n">
        <x:f>ROUNDUP(MAX(S8,R8/(1-Assumptions!$B$6-Assumptions!$B$7))*2,0)/2</x:f>
        <x:v>42</x:v>
      </x:c>
      <x:c r="U8" s="54" t="n">
        <x:f>Assumptions!$B$5</x:f>
        <x:v>0.19</x:v>
      </x:c>
      <x:c r="V8" s="50" t="n">
        <x:f>T8*(1+U8)</x:f>
        <x:v>49.98</x:v>
      </x:c>
      <x:c r="W8" s="50" t="n">
        <x:f>T8*Assumptions!$B$6</x:f>
        <x:v>2.1</x:v>
      </x:c>
      <x:c r="X8" s="50" t="n">
        <x:f>T8-R8-W8</x:f>
        <x:v>23.296419999999998</x:v>
      </x:c>
      <x:c r="Y8" s="54" t="n">
        <x:f>IFERROR(X8/T8,0)</x:f>
        <x:v>0.5546766666666666</x:v>
      </x:c>
      <x:c r="Z8" s="50" t="n">
        <x:v>9.9</x:v>
      </x:c>
      <x:c r="AA8" s="46" t="str"/>
    </x:row>
    <x:row r="9" ht="28" customHeight="1">
      <x:c r="A9" s="46" t="str">
        <x:v>SKU-008</x:v>
      </x:c>
      <x:c r="B9" s="46" t="str">
        <x:v>Photo-to-relief portrait panel</x:v>
      </x:c>
      <x:c r="C9" s="46" t="str">
        <x:v>M</x:v>
      </x:c>
      <x:c r="D9" s="46" t="str">
        <x:v>PLA</x:v>
      </x:c>
      <x:c r="E9" s="48" t="n">
        <x:v>95</x:v>
      </x:c>
      <x:c r="F9" s="48" t="n">
        <x:v>2.4</x:v>
      </x:c>
      <x:c r="G9" s="48" t="n">
        <x:v>12</x:v>
      </x:c>
      <x:c r="H9" s="50" t="n">
        <x:f>IF(C9="S",Assumptions!$B$19,IF(C9="M",Assumptions!$B$20,IF(C9="L",Assumptions!$B$21,Assumptions!$B$22)))</x:f>
        <x:v>1</x:v>
      </x:c>
      <x:c r="I9" s="50" t="n">
        <x:v>0</x:v>
      </x:c>
      <x:c r="J9" s="50" t="n">
        <x:f>IF(D9="PLA",Assumptions!$B$31,IF(D9="PETG",Assumptions!$B$32,IF(D9="ASA",Assumptions!$B$33,IF(D9="TPU",Assumptions!$B$34,IF(D9="PC Blend",Assumptions!$B$35,Assumptions!$B$36)))))</x:f>
        <x:v>22</x:v>
      </x:c>
      <x:c r="K9" s="54" t="n">
        <x:f>Assumptions!$B$9</x:f>
        <x:v>0.08</x:v>
      </x:c>
      <x:c r="L9" s="50" t="n">
        <x:f>E9/1000*J9*(1+K9)</x:f>
        <x:v>2.2572</x:v>
      </x:c>
      <x:c r="M9" s="46" t="str">
        <x:v>Core</x:v>
      </x:c>
      <x:c r="N9" s="50" t="n">
        <x:f>IF(M9="Core",Assumptions!$B$13,IF(M9="Large",Assumptions!$B$14,IF(M9="Enclosed",Assumptions!$B$15,Assumptions!$B$16)))</x:f>
        <x:v>0.75</x:v>
      </x:c>
      <x:c r="O9" s="50" t="n">
        <x:f>F9*N9</x:f>
        <x:v>1.7999999999999998</x:v>
      </x:c>
      <x:c r="P9" s="50" t="n">
        <x:f>G9/60*Assumptions!$B$8</x:f>
        <x:v>6.4</x:v>
      </x:c>
      <x:c r="Q9" s="50" t="n">
        <x:f>(H9+I9+L9+O9+P9)*Assumptions!$B$10</x:f>
        <x:v>0.57286</x:v>
      </x:c>
      <x:c r="R9" s="50" t="n">
        <x:f>H9+I9+L9+O9+P9+Q9</x:f>
        <x:v>12.03006</x:v>
      </x:c>
      <x:c r="S9" s="50" t="n">
        <x:f>IF(C9="S",Assumptions!$B$25,IF(C9="M",Assumptions!$B$26,IF(C9="L",Assumptions!$B$27,Assumptions!$B$28)))</x:f>
        <x:v>12.5</x:v>
      </x:c>
      <x:c r="T9" s="50" t="n">
        <x:f>ROUNDUP(MAX(S9,R9/(1-Assumptions!$B$6-Assumptions!$B$7))*2,0)/2</x:f>
        <x:v>30.5</x:v>
      </x:c>
      <x:c r="U9" s="54" t="n">
        <x:f>Assumptions!$B$5</x:f>
        <x:v>0.19</x:v>
      </x:c>
      <x:c r="V9" s="50" t="n">
        <x:f>T9*(1+U9)</x:f>
        <x:v>36.295</x:v>
      </x:c>
      <x:c r="W9" s="50" t="n">
        <x:f>T9*Assumptions!$B$6</x:f>
        <x:v>1.5250000000000001</x:v>
      </x:c>
      <x:c r="X9" s="50" t="n">
        <x:f>T9-R9-W9</x:f>
        <x:v>16.944940000000003</x:v>
      </x:c>
      <x:c r="Y9" s="54" t="n">
        <x:f>IFERROR(X9/T9,0)</x:f>
        <x:v>0.5555718032786886</x:v>
      </x:c>
      <x:c r="Z9" s="50" t="n">
        <x:v>12.9</x:v>
      </x:c>
      <x:c r="AA9" s="46" t="str"/>
    </x:row>
    <x:row r="10" ht="28" customHeight="1">
      <x:c r="A10" s="46" t="str">
        <x:v>SKU-009</x:v>
      </x:c>
      <x:c r="B10" s="46" t="str">
        <x:v>Bedside passive device dock</x:v>
      </x:c>
      <x:c r="C10" s="46" t="str">
        <x:v>M</x:v>
      </x:c>
      <x:c r="D10" s="46" t="str">
        <x:v>PLA</x:v>
      </x:c>
      <x:c r="E10" s="48" t="n">
        <x:v>230</x:v>
      </x:c>
      <x:c r="F10" s="48" t="n">
        <x:v>5.2</x:v>
      </x:c>
      <x:c r="G10" s="48" t="n">
        <x:v>8</x:v>
      </x:c>
      <x:c r="H10" s="50" t="n">
        <x:f>IF(C10="S",Assumptions!$B$19,IF(C10="M",Assumptions!$B$20,IF(C10="L",Assumptions!$B$21,Assumptions!$B$22)))</x:f>
        <x:v>1</x:v>
      </x:c>
      <x:c r="I10" s="50" t="n">
        <x:v>0</x:v>
      </x:c>
      <x:c r="J10" s="50" t="n">
        <x:f>IF(D10="PLA",Assumptions!$B$31,IF(D10="PETG",Assumptions!$B$32,IF(D10="ASA",Assumptions!$B$33,IF(D10="TPU",Assumptions!$B$34,IF(D10="PC Blend",Assumptions!$B$35,Assumptions!$B$36)))))</x:f>
        <x:v>22</x:v>
      </x:c>
      <x:c r="K10" s="54" t="n">
        <x:f>Assumptions!$B$9</x:f>
        <x:v>0.08</x:v>
      </x:c>
      <x:c r="L10" s="50" t="n">
        <x:f>E10/1000*J10*(1+K10)</x:f>
        <x:v>5.464800000000001</x:v>
      </x:c>
      <x:c r="M10" s="46" t="str">
        <x:v>Core</x:v>
      </x:c>
      <x:c r="N10" s="50" t="n">
        <x:f>IF(M10="Core",Assumptions!$B$13,IF(M10="Large",Assumptions!$B$14,IF(M10="Enclosed",Assumptions!$B$15,Assumptions!$B$16)))</x:f>
        <x:v>0.75</x:v>
      </x:c>
      <x:c r="O10" s="50" t="n">
        <x:f>F10*N10</x:f>
        <x:v>3.9000000000000004</x:v>
      </x:c>
      <x:c r="P10" s="50" t="n">
        <x:f>G10/60*Assumptions!$B$8</x:f>
        <x:v>4.266666666666667</x:v>
      </x:c>
      <x:c r="Q10" s="50" t="n">
        <x:f>(H10+I10+L10+O10+P10)*Assumptions!$B$10</x:f>
        <x:v>0.7315733333333334</x:v>
      </x:c>
      <x:c r="R10" s="50" t="n">
        <x:f>H10+I10+L10+O10+P10+Q10</x:f>
        <x:v>15.363040000000002</x:v>
      </x:c>
      <x:c r="S10" s="50" t="n">
        <x:f>IF(C10="S",Assumptions!$B$25,IF(C10="M",Assumptions!$B$26,IF(C10="L",Assumptions!$B$27,Assumptions!$B$28)))</x:f>
        <x:v>12.5</x:v>
      </x:c>
      <x:c r="T10" s="50" t="n">
        <x:f>ROUNDUP(MAX(S10,R10/(1-Assumptions!$B$6-Assumptions!$B$7))*2,0)/2</x:f>
        <x:v>38.5</x:v>
      </x:c>
      <x:c r="U10" s="54" t="n">
        <x:f>Assumptions!$B$5</x:f>
        <x:v>0.19</x:v>
      </x:c>
      <x:c r="V10" s="50" t="n">
        <x:f>T10*(1+U10)</x:f>
        <x:v>45.815</x:v>
      </x:c>
      <x:c r="W10" s="50" t="n">
        <x:f>T10*Assumptions!$B$6</x:f>
        <x:v>1.925</x:v>
      </x:c>
      <x:c r="X10" s="50" t="n">
        <x:f>T10-R10-W10</x:f>
        <x:v>21.211959999999998</x:v>
      </x:c>
      <x:c r="Y10" s="54" t="n">
        <x:f>IFERROR(X10/T10,0)</x:f>
        <x:v>0.5509599999999999</x:v>
      </x:c>
      <x:c r="Z10" s="50" t="n">
        <x:v>11.9</x:v>
      </x:c>
      <x:c r="AA10" s="46" t="str"/>
    </x:row>
    <x:row r="11" ht="28" customHeight="1">
      <x:c r="A11" s="46" t="str">
        <x:v>SKU-010</x:v>
      </x:c>
      <x:c r="B11" s="46" t="str">
        <x:v>Exact-fit vanity drawer insert</x:v>
      </x:c>
      <x:c r="C11" s="46" t="str">
        <x:v>M</x:v>
      </x:c>
      <x:c r="D11" s="46" t="str">
        <x:v>PETG</x:v>
      </x:c>
      <x:c r="E11" s="48" t="n">
        <x:v>390</x:v>
      </x:c>
      <x:c r="F11" s="48" t="n">
        <x:v>9</x:v>
      </x:c>
      <x:c r="G11" s="48" t="n">
        <x:v>13</x:v>
      </x:c>
      <x:c r="H11" s="50" t="n">
        <x:f>IF(C11="S",Assumptions!$B$19,IF(C11="M",Assumptions!$B$20,IF(C11="L",Assumptions!$B$21,Assumptions!$B$22)))</x:f>
        <x:v>1</x:v>
      </x:c>
      <x:c r="I11" s="50" t="n">
        <x:v>0</x:v>
      </x:c>
      <x:c r="J11" s="50" t="n">
        <x:f>IF(D11="PLA",Assumptions!$B$31,IF(D11="PETG",Assumptions!$B$32,IF(D11="ASA",Assumptions!$B$33,IF(D11="TPU",Assumptions!$B$34,IF(D11="PC Blend",Assumptions!$B$35,Assumptions!$B$36)))))</x:f>
        <x:v>26</x:v>
      </x:c>
      <x:c r="K11" s="54" t="n">
        <x:f>Assumptions!$B$9</x:f>
        <x:v>0.08</x:v>
      </x:c>
      <x:c r="L11" s="50" t="n">
        <x:f>E11/1000*J11*(1+K11)</x:f>
        <x:v>10.951200000000002</x:v>
      </x:c>
      <x:c r="M11" s="46" t="str">
        <x:v>Core</x:v>
      </x:c>
      <x:c r="N11" s="50" t="n">
        <x:f>IF(M11="Core",Assumptions!$B$13,IF(M11="Large",Assumptions!$B$14,IF(M11="Enclosed",Assumptions!$B$15,Assumptions!$B$16)))</x:f>
        <x:v>0.75</x:v>
      </x:c>
      <x:c r="O11" s="50" t="n">
        <x:f>F11*N11</x:f>
        <x:v>6.75</x:v>
      </x:c>
      <x:c r="P11" s="50" t="n">
        <x:f>G11/60*Assumptions!$B$8</x:f>
        <x:v>6.933333333333334</x:v>
      </x:c>
      <x:c r="Q11" s="50" t="n">
        <x:f>(H11+I11+L11+O11+P11)*Assumptions!$B$10</x:f>
        <x:v>1.2817266666666667</x:v>
      </x:c>
      <x:c r="R11" s="50" t="n">
        <x:f>H11+I11+L11+O11+P11+Q11</x:f>
        <x:v>26.91626</x:v>
      </x:c>
      <x:c r="S11" s="50" t="n">
        <x:f>IF(C11="S",Assumptions!$B$25,IF(C11="M",Assumptions!$B$26,IF(C11="L",Assumptions!$B$27,Assumptions!$B$28)))</x:f>
        <x:v>12.5</x:v>
      </x:c>
      <x:c r="T11" s="50" t="n">
        <x:f>ROUNDUP(MAX(S11,R11/(1-Assumptions!$B$6-Assumptions!$B$7))*2,0)/2</x:f>
        <x:v>67.5</x:v>
      </x:c>
      <x:c r="U11" s="54" t="n">
        <x:f>Assumptions!$B$5</x:f>
        <x:v>0.19</x:v>
      </x:c>
      <x:c r="V11" s="50" t="n">
        <x:f>T11*(1+U11)</x:f>
        <x:v>80.325</x:v>
      </x:c>
      <x:c r="W11" s="50" t="n">
        <x:f>T11*Assumptions!$B$6</x:f>
        <x:v>3.375</x:v>
      </x:c>
      <x:c r="X11" s="50" t="n">
        <x:f>T11-R11-W11</x:f>
        <x:v>37.20874</x:v>
      </x:c>
      <x:c r="Y11" s="54" t="n">
        <x:f>IFERROR(X11/T11,0)</x:f>
        <x:v>0.5512405925925926</x:v>
      </x:c>
      <x:c r="Z11" s="50" t="n">
        <x:v>13.9</x:v>
      </x:c>
      <x:c r="AA11" s="46" t="str"/>
    </x:row>
    <x:row r="12" ht="28" customHeight="1">
      <x:c r="A12" s="46" t="str">
        <x:v>SKU-011</x:v>
      </x:c>
      <x:c r="B12" s="46" t="str">
        <x:v>Mahjong rack-and-pusher set</x:v>
      </x:c>
      <x:c r="C12" s="46" t="str">
        <x:v>M</x:v>
      </x:c>
      <x:c r="D12" s="46" t="str">
        <x:v>PETG</x:v>
      </x:c>
      <x:c r="E12" s="48" t="n">
        <x:v>780</x:v>
      </x:c>
      <x:c r="F12" s="48" t="n">
        <x:v>18</x:v>
      </x:c>
      <x:c r="G12" s="48" t="n">
        <x:v>20</x:v>
      </x:c>
      <x:c r="H12" s="50" t="n">
        <x:f>IF(C12="S",Assumptions!$B$19,IF(C12="M",Assumptions!$B$20,IF(C12="L",Assumptions!$B$21,Assumptions!$B$22)))</x:f>
        <x:v>1</x:v>
      </x:c>
      <x:c r="I12" s="50" t="n">
        <x:v>0</x:v>
      </x:c>
      <x:c r="J12" s="50" t="n">
        <x:f>IF(D12="PLA",Assumptions!$B$31,IF(D12="PETG",Assumptions!$B$32,IF(D12="ASA",Assumptions!$B$33,IF(D12="TPU",Assumptions!$B$34,IF(D12="PC Blend",Assumptions!$B$35,Assumptions!$B$36)))))</x:f>
        <x:v>26</x:v>
      </x:c>
      <x:c r="K12" s="54" t="n">
        <x:f>Assumptions!$B$9</x:f>
        <x:v>0.08</x:v>
      </x:c>
      <x:c r="L12" s="50" t="n">
        <x:f>E12/1000*J12*(1+K12)</x:f>
        <x:v>21.902400000000004</x:v>
      </x:c>
      <x:c r="M12" s="46" t="str">
        <x:v>Core</x:v>
      </x:c>
      <x:c r="N12" s="50" t="n">
        <x:f>IF(M12="Core",Assumptions!$B$13,IF(M12="Large",Assumptions!$B$14,IF(M12="Enclosed",Assumptions!$B$15,Assumptions!$B$16)))</x:f>
        <x:v>0.75</x:v>
      </x:c>
      <x:c r="O12" s="50" t="n">
        <x:f>F12*N12</x:f>
        <x:v>13.5</x:v>
      </x:c>
      <x:c r="P12" s="50" t="n">
        <x:f>G12/60*Assumptions!$B$8</x:f>
        <x:v>10.666666666666666</x:v>
      </x:c>
      <x:c r="Q12" s="50" t="n">
        <x:f>(H12+I12+L12+O12+P12)*Assumptions!$B$10</x:f>
        <x:v>2.3534533333333334</x:v>
      </x:c>
      <x:c r="R12" s="50" t="n">
        <x:f>H12+I12+L12+O12+P12+Q12</x:f>
        <x:v>49.42252</x:v>
      </x:c>
      <x:c r="S12" s="50" t="n">
        <x:f>IF(C12="S",Assumptions!$B$25,IF(C12="M",Assumptions!$B$26,IF(C12="L",Assumptions!$B$27,Assumptions!$B$28)))</x:f>
        <x:v>12.5</x:v>
      </x:c>
      <x:c r="T12" s="50" t="n">
        <x:f>ROUNDUP(MAX(S12,R12/(1-Assumptions!$B$6-Assumptions!$B$7))*2,0)/2</x:f>
        <x:v>124</x:v>
      </x:c>
      <x:c r="U12" s="54" t="n">
        <x:f>Assumptions!$B$5</x:f>
        <x:v>0.19</x:v>
      </x:c>
      <x:c r="V12" s="50" t="n">
        <x:f>T12*(1+U12)</x:f>
        <x:v>147.56</x:v>
      </x:c>
      <x:c r="W12" s="50" t="n">
        <x:f>T12*Assumptions!$B$6</x:f>
        <x:v>6.2</x:v>
      </x:c>
      <x:c r="X12" s="50" t="n">
        <x:f>T12-R12-W12</x:f>
        <x:v>68.37748</x:v>
      </x:c>
      <x:c r="Y12" s="54" t="n">
        <x:f>IFERROR(X12/T12,0)</x:f>
        <x:v>0.5514312903225806</x:v>
      </x:c>
      <x:c r="Z12" s="50" t="n">
        <x:v>14.9</x:v>
      </x:c>
      <x:c r="AA12" s="46" t="str"/>
    </x:row>
    <x:row r="13" ht="28" customHeight="1">
      <x:c r="A13" s="46" t="str">
        <x:v>SKU-012</x:v>
      </x:c>
      <x:c r="B13" s="46" t="str">
        <x:v>Personalized modular mahjong rack set</x:v>
      </x:c>
      <x:c r="C13" s="46" t="str">
        <x:v>M</x:v>
      </x:c>
      <x:c r="D13" s="46" t="str">
        <x:v>PLA</x:v>
      </x:c>
      <x:c r="E13" s="48" t="n">
        <x:v>680</x:v>
      </x:c>
      <x:c r="F13" s="48" t="n">
        <x:v>16</x:v>
      </x:c>
      <x:c r="G13" s="48" t="n">
        <x:v>18</x:v>
      </x:c>
      <x:c r="H13" s="50" t="n">
        <x:f>IF(C13="S",Assumptions!$B$19,IF(C13="M",Assumptions!$B$20,IF(C13="L",Assumptions!$B$21,Assumptions!$B$22)))</x:f>
        <x:v>1</x:v>
      </x:c>
      <x:c r="I13" s="50" t="n">
        <x:v>0</x:v>
      </x:c>
      <x:c r="J13" s="50" t="n">
        <x:f>IF(D13="PLA",Assumptions!$B$31,IF(D13="PETG",Assumptions!$B$32,IF(D13="ASA",Assumptions!$B$33,IF(D13="TPU",Assumptions!$B$34,IF(D13="PC Blend",Assumptions!$B$35,Assumptions!$B$36)))))</x:f>
        <x:v>22</x:v>
      </x:c>
      <x:c r="K13" s="54" t="n">
        <x:f>Assumptions!$B$9</x:f>
        <x:v>0.08</x:v>
      </x:c>
      <x:c r="L13" s="50" t="n">
        <x:f>E13/1000*J13*(1+K13)</x:f>
        <x:v>16.1568</x:v>
      </x:c>
      <x:c r="M13" s="46" t="str">
        <x:v>Core</x:v>
      </x:c>
      <x:c r="N13" s="50" t="n">
        <x:f>IF(M13="Core",Assumptions!$B$13,IF(M13="Large",Assumptions!$B$14,IF(M13="Enclosed",Assumptions!$B$15,Assumptions!$B$16)))</x:f>
        <x:v>0.75</x:v>
      </x:c>
      <x:c r="O13" s="50" t="n">
        <x:f>F13*N13</x:f>
        <x:v>12</x:v>
      </x:c>
      <x:c r="P13" s="50" t="n">
        <x:f>G13/60*Assumptions!$B$8</x:f>
        <x:v>9.6</x:v>
      </x:c>
      <x:c r="Q13" s="50" t="n">
        <x:f>(H13+I13+L13+O13+P13)*Assumptions!$B$10</x:f>
        <x:v>1.93784</x:v>
      </x:c>
      <x:c r="R13" s="50" t="n">
        <x:f>H13+I13+L13+O13+P13+Q13</x:f>
        <x:v>40.69464</x:v>
      </x:c>
      <x:c r="S13" s="50" t="n">
        <x:f>IF(C13="S",Assumptions!$B$25,IF(C13="M",Assumptions!$B$26,IF(C13="L",Assumptions!$B$27,Assumptions!$B$28)))</x:f>
        <x:v>12.5</x:v>
      </x:c>
      <x:c r="T13" s="50" t="n">
        <x:f>ROUNDUP(MAX(S13,R13/(1-Assumptions!$B$6-Assumptions!$B$7))*2,0)/2</x:f>
        <x:v>102</x:v>
      </x:c>
      <x:c r="U13" s="54" t="n">
        <x:f>Assumptions!$B$5</x:f>
        <x:v>0.19</x:v>
      </x:c>
      <x:c r="V13" s="50" t="n">
        <x:f>T13*(1+U13)</x:f>
        <x:v>121.38</x:v>
      </x:c>
      <x:c r="W13" s="50" t="n">
        <x:f>T13*Assumptions!$B$6</x:f>
        <x:v>5.1000000000000005</x:v>
      </x:c>
      <x:c r="X13" s="50" t="n">
        <x:f>T13-R13-W13</x:f>
        <x:v>56.20536</x:v>
      </x:c>
      <x:c r="Y13" s="54" t="n">
        <x:f>IFERROR(X13/T13,0)</x:f>
        <x:v>0.5510329411764706</x:v>
      </x:c>
      <x:c r="Z13" s="50" t="n">
        <x:v>14.9</x:v>
      </x:c>
      <x:c r="AA13" s="46" t="str"/>
    </x:row>
    <x:row r="14" ht="28" customHeight="1">
      <x:c r="A14" s="46" t="str">
        <x:v>SKU-013</x:v>
      </x:c>
      <x:c r="B14" s="46" t="str">
        <x:v>Business QR-code tabletop sign</x:v>
      </x:c>
      <x:c r="C14" s="46" t="str">
        <x:v>M</x:v>
      </x:c>
      <x:c r="D14" s="46" t="str">
        <x:v>PLA</x:v>
      </x:c>
      <x:c r="E14" s="48" t="n">
        <x:v>185</x:v>
      </x:c>
      <x:c r="F14" s="48" t="n">
        <x:v>4</x:v>
      </x:c>
      <x:c r="G14" s="48" t="n">
        <x:v>10</x:v>
      </x:c>
      <x:c r="H14" s="50" t="n">
        <x:f>IF(C14="S",Assumptions!$B$19,IF(C14="M",Assumptions!$B$20,IF(C14="L",Assumptions!$B$21,Assumptions!$B$22)))</x:f>
        <x:v>1</x:v>
      </x:c>
      <x:c r="I14" s="50" t="n">
        <x:v>0</x:v>
      </x:c>
      <x:c r="J14" s="50" t="n">
        <x:f>IF(D14="PLA",Assumptions!$B$31,IF(D14="PETG",Assumptions!$B$32,IF(D14="ASA",Assumptions!$B$33,IF(D14="TPU",Assumptions!$B$34,IF(D14="PC Blend",Assumptions!$B$35,Assumptions!$B$36)))))</x:f>
        <x:v>22</x:v>
      </x:c>
      <x:c r="K14" s="54" t="n">
        <x:f>Assumptions!$B$9</x:f>
        <x:v>0.08</x:v>
      </x:c>
      <x:c r="L14" s="50" t="n">
        <x:f>E14/1000*J14*(1+K14)</x:f>
        <x:v>4.395600000000001</x:v>
      </x:c>
      <x:c r="M14" s="46" t="str">
        <x:v>Core</x:v>
      </x:c>
      <x:c r="N14" s="50" t="n">
        <x:f>IF(M14="Core",Assumptions!$B$13,IF(M14="Large",Assumptions!$B$14,IF(M14="Enclosed",Assumptions!$B$15,Assumptions!$B$16)))</x:f>
        <x:v>0.75</x:v>
      </x:c>
      <x:c r="O14" s="50" t="n">
        <x:f>F14*N14</x:f>
        <x:v>3</x:v>
      </x:c>
      <x:c r="P14" s="50" t="n">
        <x:f>G14/60*Assumptions!$B$8</x:f>
        <x:v>5.333333333333333</x:v>
      </x:c>
      <x:c r="Q14" s="50" t="n">
        <x:f>(H14+I14+L14+O14+P14)*Assumptions!$B$10</x:f>
        <x:v>0.6864466666666668</x:v>
      </x:c>
      <x:c r="R14" s="50" t="n">
        <x:f>H14+I14+L14+O14+P14+Q14</x:f>
        <x:v>14.41538</x:v>
      </x:c>
      <x:c r="S14" s="50" t="n">
        <x:f>IF(C14="S",Assumptions!$B$25,IF(C14="M",Assumptions!$B$26,IF(C14="L",Assumptions!$B$27,Assumptions!$B$28)))</x:f>
        <x:v>12.5</x:v>
      </x:c>
      <x:c r="T14" s="50" t="n">
        <x:f>ROUNDUP(MAX(S14,R14/(1-Assumptions!$B$6-Assumptions!$B$7))*2,0)/2</x:f>
        <x:v>36.5</x:v>
      </x:c>
      <x:c r="U14" s="54" t="n">
        <x:f>Assumptions!$B$5</x:f>
        <x:v>0.19</x:v>
      </x:c>
      <x:c r="V14" s="50" t="n">
        <x:f>T14*(1+U14)</x:f>
        <x:v>43.434999999999995</x:v>
      </x:c>
      <x:c r="W14" s="50" t="n">
        <x:f>T14*Assumptions!$B$6</x:f>
        <x:v>1.8250000000000002</x:v>
      </x:c>
      <x:c r="X14" s="50" t="n">
        <x:f>T14-R14-W14</x:f>
        <x:v>20.25962</x:v>
      </x:c>
      <x:c r="Y14" s="54" t="n">
        <x:f>IFERROR(X14/T14,0)</x:f>
        <x:v>0.5550580821917809</x:v>
      </x:c>
      <x:c r="Z14" s="50" t="n">
        <x:v>9.9</x:v>
      </x:c>
      <x:c r="AA14" s="46" t="str"/>
    </x:row>
    <x:row r="15" ht="28" customHeight="1">
      <x:c r="A15" s="46" t="str">
        <x:v>SKU-014</x:v>
      </x:c>
      <x:c r="B15" s="46" t="str">
        <x:v>Personalized desk nameplate</x:v>
      </x:c>
      <x:c r="C15" s="46" t="str">
        <x:v>M</x:v>
      </x:c>
      <x:c r="D15" s="46" t="str">
        <x:v>PLA</x:v>
      </x:c>
      <x:c r="E15" s="48" t="n">
        <x:v>115</x:v>
      </x:c>
      <x:c r="F15" s="48" t="n">
        <x:v>2.6</x:v>
      </x:c>
      <x:c r="G15" s="48" t="n">
        <x:v>7</x:v>
      </x:c>
      <x:c r="H15" s="50" t="n">
        <x:f>IF(C15="S",Assumptions!$B$19,IF(C15="M",Assumptions!$B$20,IF(C15="L",Assumptions!$B$21,Assumptions!$B$22)))</x:f>
        <x:v>1</x:v>
      </x:c>
      <x:c r="I15" s="50" t="n">
        <x:v>0</x:v>
      </x:c>
      <x:c r="J15" s="50" t="n">
        <x:f>IF(D15="PLA",Assumptions!$B$31,IF(D15="PETG",Assumptions!$B$32,IF(D15="ASA",Assumptions!$B$33,IF(D15="TPU",Assumptions!$B$34,IF(D15="PC Blend",Assumptions!$B$35,Assumptions!$B$36)))))</x:f>
        <x:v>22</x:v>
      </x:c>
      <x:c r="K15" s="54" t="n">
        <x:f>Assumptions!$B$9</x:f>
        <x:v>0.08</x:v>
      </x:c>
      <x:c r="L15" s="50" t="n">
        <x:f>E15/1000*J15*(1+K15)</x:f>
        <x:v>2.7324000000000006</x:v>
      </x:c>
      <x:c r="M15" s="46" t="str">
        <x:v>Core</x:v>
      </x:c>
      <x:c r="N15" s="50" t="n">
        <x:f>IF(M15="Core",Assumptions!$B$13,IF(M15="Large",Assumptions!$B$14,IF(M15="Enclosed",Assumptions!$B$15,Assumptions!$B$16)))</x:f>
        <x:v>0.75</x:v>
      </x:c>
      <x:c r="O15" s="50" t="n">
        <x:f>F15*N15</x:f>
        <x:v>1.9500000000000002</x:v>
      </x:c>
      <x:c r="P15" s="50" t="n">
        <x:f>G15/60*Assumptions!$B$8</x:f>
        <x:v>3.7333333333333334</x:v>
      </x:c>
      <x:c r="Q15" s="50" t="n">
        <x:f>(H15+I15+L15+O15+P15)*Assumptions!$B$10</x:f>
        <x:v>0.4707866666666668</x:v>
      </x:c>
      <x:c r="R15" s="50" t="n">
        <x:f>H15+I15+L15+O15+P15+Q15</x:f>
        <x:v>9.886520000000003</x:v>
      </x:c>
      <x:c r="S15" s="50" t="n">
        <x:f>IF(C15="S",Assumptions!$B$25,IF(C15="M",Assumptions!$B$26,IF(C15="L",Assumptions!$B$27,Assumptions!$B$28)))</x:f>
        <x:v>12.5</x:v>
      </x:c>
      <x:c r="T15" s="50" t="n">
        <x:f>ROUNDUP(MAX(S15,R15/(1-Assumptions!$B$6-Assumptions!$B$7))*2,0)/2</x:f>
        <x:v>25</x:v>
      </x:c>
      <x:c r="U15" s="54" t="n">
        <x:f>Assumptions!$B$5</x:f>
        <x:v>0.19</x:v>
      </x:c>
      <x:c r="V15" s="50" t="n">
        <x:f>T15*(1+U15)</x:f>
        <x:v>29.75</x:v>
      </x:c>
      <x:c r="W15" s="50" t="n">
        <x:f>T15*Assumptions!$B$6</x:f>
        <x:v>1.25</x:v>
      </x:c>
      <x:c r="X15" s="50" t="n">
        <x:f>T15-R15-W15</x:f>
        <x:v>13.863479999999997</x:v>
      </x:c>
      <x:c r="Y15" s="54" t="n">
        <x:f>IFERROR(X15/T15,0)</x:f>
        <x:v>0.5545391999999999</x:v>
      </x:c>
      <x:c r="Z15" s="50" t="n">
        <x:v>7.9</x:v>
      </x:c>
      <x:c r="AA15" s="46" t="str"/>
    </x:row>
    <x:row r="16" ht="28" customHeight="1">
      <x:c r="A16" s="46" t="str">
        <x:v>SKU-015</x:v>
      </x:c>
      <x:c r="B16" s="46" t="str">
        <x:v>Mahjong tile sorting tray set</x:v>
      </x:c>
      <x:c r="C16" s="46" t="str">
        <x:v>M</x:v>
      </x:c>
      <x:c r="D16" s="46" t="str">
        <x:v>PLA</x:v>
      </x:c>
      <x:c r="E16" s="48" t="n">
        <x:v>510</x:v>
      </x:c>
      <x:c r="F16" s="48" t="n">
        <x:v>12</x:v>
      </x:c>
      <x:c r="G16" s="48" t="n">
        <x:v>13</x:v>
      </x:c>
      <x:c r="H16" s="50" t="n">
        <x:f>IF(C16="S",Assumptions!$B$19,IF(C16="M",Assumptions!$B$20,IF(C16="L",Assumptions!$B$21,Assumptions!$B$22)))</x:f>
        <x:v>1</x:v>
      </x:c>
      <x:c r="I16" s="50" t="n">
        <x:v>0</x:v>
      </x:c>
      <x:c r="J16" s="50" t="n">
        <x:f>IF(D16="PLA",Assumptions!$B$31,IF(D16="PETG",Assumptions!$B$32,IF(D16="ASA",Assumptions!$B$33,IF(D16="TPU",Assumptions!$B$34,IF(D16="PC Blend",Assumptions!$B$35,Assumptions!$B$36)))))</x:f>
        <x:v>22</x:v>
      </x:c>
      <x:c r="K16" s="54" t="n">
        <x:f>Assumptions!$B$9</x:f>
        <x:v>0.08</x:v>
      </x:c>
      <x:c r="L16" s="50" t="n">
        <x:f>E16/1000*J16*(1+K16)</x:f>
        <x:v>12.117600000000001</x:v>
      </x:c>
      <x:c r="M16" s="46" t="str">
        <x:v>Core</x:v>
      </x:c>
      <x:c r="N16" s="50" t="n">
        <x:f>IF(M16="Core",Assumptions!$B$13,IF(M16="Large",Assumptions!$B$14,IF(M16="Enclosed",Assumptions!$B$15,Assumptions!$B$16)))</x:f>
        <x:v>0.75</x:v>
      </x:c>
      <x:c r="O16" s="50" t="n">
        <x:f>F16*N16</x:f>
        <x:v>9</x:v>
      </x:c>
      <x:c r="P16" s="50" t="n">
        <x:f>G16/60*Assumptions!$B$8</x:f>
        <x:v>6.933333333333334</x:v>
      </x:c>
      <x:c r="Q16" s="50" t="n">
        <x:f>(H16+I16+L16+O16+P16)*Assumptions!$B$10</x:f>
        <x:v>1.4525466666666669</x:v>
      </x:c>
      <x:c r="R16" s="50" t="n">
        <x:f>H16+I16+L16+O16+P16+Q16</x:f>
        <x:v>30.503480000000003</x:v>
      </x:c>
      <x:c r="S16" s="50" t="n">
        <x:f>IF(C16="S",Assumptions!$B$25,IF(C16="M",Assumptions!$B$26,IF(C16="L",Assumptions!$B$27,Assumptions!$B$28)))</x:f>
        <x:v>12.5</x:v>
      </x:c>
      <x:c r="T16" s="50" t="n">
        <x:f>ROUNDUP(MAX(S16,R16/(1-Assumptions!$B$6-Assumptions!$B$7))*2,0)/2</x:f>
        <x:v>76.5</x:v>
      </x:c>
      <x:c r="U16" s="54" t="n">
        <x:f>Assumptions!$B$5</x:f>
        <x:v>0.19</x:v>
      </x:c>
      <x:c r="V16" s="50" t="n">
        <x:f>T16*(1+U16)</x:f>
        <x:v>91.035</x:v>
      </x:c>
      <x:c r="W16" s="50" t="n">
        <x:f>T16*Assumptions!$B$6</x:f>
        <x:v>3.825</x:v>
      </x:c>
      <x:c r="X16" s="50" t="n">
        <x:f>T16-R16-W16</x:f>
        <x:v>42.171519999999994</x:v>
      </x:c>
      <x:c r="Y16" s="54" t="n">
        <x:f>IFERROR(X16/T16,0)</x:f>
        <x:v>0.5512616993464051</x:v>
      </x:c>
      <x:c r="Z16" s="50" t="n">
        <x:v>12.9</x:v>
      </x:c>
      <x:c r="AA16" s="46" t="str"/>
    </x:row>
    <x:row r="17" ht="28" customHeight="1">
      <x:c r="A17" s="46" t="str">
        <x:v>SKU-016</x:v>
      </x:c>
      <x:c r="B17" s="46" t="str">
        <x:v>Travel mahjong rack segments</x:v>
      </x:c>
      <x:c r="C17" s="46" t="str">
        <x:v>M</x:v>
      </x:c>
      <x:c r="D17" s="46" t="str">
        <x:v>PETG</x:v>
      </x:c>
      <x:c r="E17" s="48" t="n">
        <x:v>350</x:v>
      </x:c>
      <x:c r="F17" s="48" t="n">
        <x:v>8.2</x:v>
      </x:c>
      <x:c r="G17" s="48" t="n">
        <x:v>12</x:v>
      </x:c>
      <x:c r="H17" s="50" t="n">
        <x:f>IF(C17="S",Assumptions!$B$19,IF(C17="M",Assumptions!$B$20,IF(C17="L",Assumptions!$B$21,Assumptions!$B$22)))</x:f>
        <x:v>1</x:v>
      </x:c>
      <x:c r="I17" s="50" t="n">
        <x:v>0</x:v>
      </x:c>
      <x:c r="J17" s="50" t="n">
        <x:f>IF(D17="PLA",Assumptions!$B$31,IF(D17="PETG",Assumptions!$B$32,IF(D17="ASA",Assumptions!$B$33,IF(D17="TPU",Assumptions!$B$34,IF(D17="PC Blend",Assumptions!$B$35,Assumptions!$B$36)))))</x:f>
        <x:v>26</x:v>
      </x:c>
      <x:c r="K17" s="54" t="n">
        <x:f>Assumptions!$B$9</x:f>
        <x:v>0.08</x:v>
      </x:c>
      <x:c r="L17" s="50" t="n">
        <x:f>E17/1000*J17*(1+K17)</x:f>
        <x:v>9.828</x:v>
      </x:c>
      <x:c r="M17" s="46" t="str">
        <x:v>Core</x:v>
      </x:c>
      <x:c r="N17" s="50" t="n">
        <x:f>IF(M17="Core",Assumptions!$B$13,IF(M17="Large",Assumptions!$B$14,IF(M17="Enclosed",Assumptions!$B$15,Assumptions!$B$16)))</x:f>
        <x:v>0.75</x:v>
      </x:c>
      <x:c r="O17" s="50" t="n">
        <x:f>F17*N17</x:f>
        <x:v>6.1499999999999995</x:v>
      </x:c>
      <x:c r="P17" s="50" t="n">
        <x:f>G17/60*Assumptions!$B$8</x:f>
        <x:v>6.4</x:v>
      </x:c>
      <x:c r="Q17" s="50" t="n">
        <x:f>(H17+I17+L17+O17+P17)*Assumptions!$B$10</x:f>
        <x:v>1.1689</x:v>
      </x:c>
      <x:c r="R17" s="50" t="n">
        <x:f>H17+I17+L17+O17+P17+Q17</x:f>
        <x:v>24.5469</x:v>
      </x:c>
      <x:c r="S17" s="50" t="n">
        <x:f>IF(C17="S",Assumptions!$B$25,IF(C17="M",Assumptions!$B$26,IF(C17="L",Assumptions!$B$27,Assumptions!$B$28)))</x:f>
        <x:v>12.5</x:v>
      </x:c>
      <x:c r="T17" s="50" t="n">
        <x:f>ROUNDUP(MAX(S17,R17/(1-Assumptions!$B$6-Assumptions!$B$7))*2,0)/2</x:f>
        <x:v>61.5</x:v>
      </x:c>
      <x:c r="U17" s="54" t="n">
        <x:f>Assumptions!$B$5</x:f>
        <x:v>0.19</x:v>
      </x:c>
      <x:c r="V17" s="50" t="n">
        <x:f>T17*(1+U17)</x:f>
        <x:v>73.185</x:v>
      </x:c>
      <x:c r="W17" s="50" t="n">
        <x:f>T17*Assumptions!$B$6</x:f>
        <x:v>3.075</x:v>
      </x:c>
      <x:c r="X17" s="50" t="n">
        <x:f>T17-R17-W17</x:f>
        <x:v>33.878099999999996</x:v>
      </x:c>
      <x:c r="Y17" s="54" t="n">
        <x:f>IFERROR(X17/T17,0)</x:f>
        <x:v>0.5508634146341462</x:v>
      </x:c>
      <x:c r="Z17" s="50" t="n">
        <x:v>10.9</x:v>
      </x:c>
      <x:c r="AA17" s="46" t="str"/>
    </x:row>
    <x:row r="18" ht="28" customHeight="1">
      <x:c r="A18" s="46" t="str">
        <x:v>SKU-017</x:v>
      </x:c>
      <x:c r="B18" s="46" t="str">
        <x:v>Fold-flat travel phone stand</x:v>
      </x:c>
      <x:c r="C18" s="46" t="str">
        <x:v>S</x:v>
      </x:c>
      <x:c r="D18" s="46" t="str">
        <x:v>PETG</x:v>
      </x:c>
      <x:c r="E18" s="48" t="n">
        <x:v>70</x:v>
      </x:c>
      <x:c r="F18" s="48" t="n">
        <x:v>1.8</x:v>
      </x:c>
      <x:c r="G18" s="48" t="n">
        <x:v>5</x:v>
      </x:c>
      <x:c r="H18" s="50" t="n">
        <x:f>IF(C18="S",Assumptions!$B$19,IF(C18="M",Assumptions!$B$20,IF(C18="L",Assumptions!$B$21,Assumptions!$B$22)))</x:f>
        <x:v>0.6</x:v>
      </x:c>
      <x:c r="I18" s="50" t="n">
        <x:v>0</x:v>
      </x:c>
      <x:c r="J18" s="50" t="n">
        <x:f>IF(D18="PLA",Assumptions!$B$31,IF(D18="PETG",Assumptions!$B$32,IF(D18="ASA",Assumptions!$B$33,IF(D18="TPU",Assumptions!$B$34,IF(D18="PC Blend",Assumptions!$B$35,Assumptions!$B$36)))))</x:f>
        <x:v>26</x:v>
      </x:c>
      <x:c r="K18" s="54" t="n">
        <x:f>Assumptions!$B$9</x:f>
        <x:v>0.08</x:v>
      </x:c>
      <x:c r="L18" s="50" t="n">
        <x:f>E18/1000*J18*(1+K18)</x:f>
        <x:v>1.9656000000000005</x:v>
      </x:c>
      <x:c r="M18" s="46" t="str">
        <x:v>Core</x:v>
      </x:c>
      <x:c r="N18" s="50" t="n">
        <x:f>IF(M18="Core",Assumptions!$B$13,IF(M18="Large",Assumptions!$B$14,IF(M18="Enclosed",Assumptions!$B$15,Assumptions!$B$16)))</x:f>
        <x:v>0.75</x:v>
      </x:c>
      <x:c r="O18" s="50" t="n">
        <x:f>F18*N18</x:f>
        <x:v>1.35</x:v>
      </x:c>
      <x:c r="P18" s="50" t="n">
        <x:f>G18/60*Assumptions!$B$8</x:f>
        <x:v>2.6666666666666665</x:v>
      </x:c>
      <x:c r="Q18" s="50" t="n">
        <x:f>(H18+I18+L18+O18+P18)*Assumptions!$B$10</x:f>
        <x:v>0.32911333333333337</x:v>
      </x:c>
      <x:c r="R18" s="50" t="n">
        <x:f>H18+I18+L18+O18+P18+Q18</x:f>
        <x:v>6.911380000000001</x:v>
      </x:c>
      <x:c r="S18" s="50" t="n">
        <x:f>IF(C18="S",Assumptions!$B$25,IF(C18="M",Assumptions!$B$26,IF(C18="L",Assumptions!$B$27,Assumptions!$B$28)))</x:f>
        <x:v>7.5</x:v>
      </x:c>
      <x:c r="T18" s="50" t="n">
        <x:f>ROUNDUP(MAX(S18,R18/(1-Assumptions!$B$6-Assumptions!$B$7))*2,0)/2</x:f>
        <x:v>17.5</x:v>
      </x:c>
      <x:c r="U18" s="54" t="n">
        <x:f>Assumptions!$B$5</x:f>
        <x:v>0.19</x:v>
      </x:c>
      <x:c r="V18" s="50" t="n">
        <x:f>T18*(1+U18)</x:f>
        <x:v>20.825</x:v>
      </x:c>
      <x:c r="W18" s="50" t="n">
        <x:f>T18*Assumptions!$B$6</x:f>
        <x:v>0.875</x:v>
      </x:c>
      <x:c r="X18" s="50" t="n">
        <x:f>T18-R18-W18</x:f>
        <x:v>9.713619999999999</x:v>
      </x:c>
      <x:c r="Y18" s="54" t="n">
        <x:f>IFERROR(X18/T18,0)</x:f>
        <x:v>0.5550639999999999</x:v>
      </x:c>
      <x:c r="Z18" s="50" t="n">
        <x:v>4.9</x:v>
      </x:c>
      <x:c r="AA18" s="46" t="str"/>
    </x:row>
    <x:row r="19" ht="28" customHeight="1">
      <x:c r="A19" s="46" t="str">
        <x:v>SKU-018</x:v>
      </x:c>
      <x:c r="B19" s="46" t="str">
        <x:v>Personalized pen and stationery caddy</x:v>
      </x:c>
      <x:c r="C19" s="46" t="str">
        <x:v>M</x:v>
      </x:c>
      <x:c r="D19" s="46" t="str">
        <x:v>PLA</x:v>
      </x:c>
      <x:c r="E19" s="48" t="n">
        <x:v>210</x:v>
      </x:c>
      <x:c r="F19" s="48" t="n">
        <x:v>4.8</x:v>
      </x:c>
      <x:c r="G19" s="48" t="n">
        <x:v>7</x:v>
      </x:c>
      <x:c r="H19" s="50" t="n">
        <x:f>IF(C19="S",Assumptions!$B$19,IF(C19="M",Assumptions!$B$20,IF(C19="L",Assumptions!$B$21,Assumptions!$B$22)))</x:f>
        <x:v>1</x:v>
      </x:c>
      <x:c r="I19" s="50" t="n">
        <x:v>0</x:v>
      </x:c>
      <x:c r="J19" s="50" t="n">
        <x:f>IF(D19="PLA",Assumptions!$B$31,IF(D19="PETG",Assumptions!$B$32,IF(D19="ASA",Assumptions!$B$33,IF(D19="TPU",Assumptions!$B$34,IF(D19="PC Blend",Assumptions!$B$35,Assumptions!$B$36)))))</x:f>
        <x:v>22</x:v>
      </x:c>
      <x:c r="K19" s="54" t="n">
        <x:f>Assumptions!$B$9</x:f>
        <x:v>0.08</x:v>
      </x:c>
      <x:c r="L19" s="50" t="n">
        <x:f>E19/1000*J19*(1+K19)</x:f>
        <x:v>4.9896</x:v>
      </x:c>
      <x:c r="M19" s="46" t="str">
        <x:v>Core</x:v>
      </x:c>
      <x:c r="N19" s="50" t="n">
        <x:f>IF(M19="Core",Assumptions!$B$13,IF(M19="Large",Assumptions!$B$14,IF(M19="Enclosed",Assumptions!$B$15,Assumptions!$B$16)))</x:f>
        <x:v>0.75</x:v>
      </x:c>
      <x:c r="O19" s="50" t="n">
        <x:f>F19*N19</x:f>
        <x:v>3.5999999999999996</x:v>
      </x:c>
      <x:c r="P19" s="50" t="n">
        <x:f>G19/60*Assumptions!$B$8</x:f>
        <x:v>3.7333333333333334</x:v>
      </x:c>
      <x:c r="Q19" s="50" t="n">
        <x:f>(H19+I19+L19+O19+P19)*Assumptions!$B$10</x:f>
        <x:v>0.6661466666666668</x:v>
      </x:c>
      <x:c r="R19" s="50" t="n">
        <x:f>H19+I19+L19+O19+P19+Q19</x:f>
        <x:v>13.989080000000001</x:v>
      </x:c>
      <x:c r="S19" s="50" t="n">
        <x:f>IF(C19="S",Assumptions!$B$25,IF(C19="M",Assumptions!$B$26,IF(C19="L",Assumptions!$B$27,Assumptions!$B$28)))</x:f>
        <x:v>12.5</x:v>
      </x:c>
      <x:c r="T19" s="50" t="n">
        <x:f>ROUNDUP(MAX(S19,R19/(1-Assumptions!$B$6-Assumptions!$B$7))*2,0)/2</x:f>
        <x:v>35</x:v>
      </x:c>
      <x:c r="U19" s="54" t="n">
        <x:f>Assumptions!$B$5</x:f>
        <x:v>0.19</x:v>
      </x:c>
      <x:c r="V19" s="50" t="n">
        <x:f>T19*(1+U19)</x:f>
        <x:v>41.65</x:v>
      </x:c>
      <x:c r="W19" s="50" t="n">
        <x:f>T19*Assumptions!$B$6</x:f>
        <x:v>1.75</x:v>
      </x:c>
      <x:c r="X19" s="50" t="n">
        <x:f>T19-R19-W19</x:f>
        <x:v>19.26092</x:v>
      </x:c>
      <x:c r="Y19" s="54" t="n">
        <x:f>IFERROR(X19/T19,0)</x:f>
        <x:v>0.5503119999999999</x:v>
      </x:c>
      <x:c r="Z19" s="50" t="n">
        <x:v>8.9</x:v>
      </x:c>
      <x:c r="AA19" s="46" t="str"/>
    </x:row>
    <x:row r="20" ht="28" customHeight="1">
      <x:c r="A20" s="46" t="str">
        <x:v>SKU-019</x:v>
      </x:c>
      <x:c r="B20" s="46" t="str">
        <x:v>Dry sculptural statement vase</x:v>
      </x:c>
      <x:c r="C20" s="46" t="str">
        <x:v>M</x:v>
      </x:c>
      <x:c r="D20" s="46" t="str">
        <x:v>PLA</x:v>
      </x:c>
      <x:c r="E20" s="48" t="n">
        <x:v>410</x:v>
      </x:c>
      <x:c r="F20" s="48" t="n">
        <x:v>8.5</x:v>
      </x:c>
      <x:c r="G20" s="48" t="n">
        <x:v>8</x:v>
      </x:c>
      <x:c r="H20" s="50" t="n">
        <x:f>IF(C20="S",Assumptions!$B$19,IF(C20="M",Assumptions!$B$20,IF(C20="L",Assumptions!$B$21,Assumptions!$B$22)))</x:f>
        <x:v>1</x:v>
      </x:c>
      <x:c r="I20" s="50" t="n">
        <x:v>0</x:v>
      </x:c>
      <x:c r="J20" s="50" t="n">
        <x:f>IF(D20="PLA",Assumptions!$B$31,IF(D20="PETG",Assumptions!$B$32,IF(D20="ASA",Assumptions!$B$33,IF(D20="TPU",Assumptions!$B$34,IF(D20="PC Blend",Assumptions!$B$35,Assumptions!$B$36)))))</x:f>
        <x:v>22</x:v>
      </x:c>
      <x:c r="K20" s="54" t="n">
        <x:f>Assumptions!$B$9</x:f>
        <x:v>0.08</x:v>
      </x:c>
      <x:c r="L20" s="50" t="n">
        <x:f>E20/1000*J20*(1+K20)</x:f>
        <x:v>9.7416</x:v>
      </x:c>
      <x:c r="M20" s="46" t="str">
        <x:v>Core</x:v>
      </x:c>
      <x:c r="N20" s="50" t="n">
        <x:f>IF(M20="Core",Assumptions!$B$13,IF(M20="Large",Assumptions!$B$14,IF(M20="Enclosed",Assumptions!$B$15,Assumptions!$B$16)))</x:f>
        <x:v>0.75</x:v>
      </x:c>
      <x:c r="O20" s="50" t="n">
        <x:f>F20*N20</x:f>
        <x:v>6.375</x:v>
      </x:c>
      <x:c r="P20" s="50" t="n">
        <x:f>G20/60*Assumptions!$B$8</x:f>
        <x:v>4.266666666666667</x:v>
      </x:c>
      <x:c r="Q20" s="50" t="n">
        <x:f>(H20+I20+L20+O20+P20)*Assumptions!$B$10</x:f>
        <x:v>1.0691633333333332</x:v>
      </x:c>
      <x:c r="R20" s="50" t="n">
        <x:f>H20+I20+L20+O20+P20+Q20</x:f>
        <x:v>22.452429999999996</x:v>
      </x:c>
      <x:c r="S20" s="50" t="n">
        <x:f>IF(C20="S",Assumptions!$B$25,IF(C20="M",Assumptions!$B$26,IF(C20="L",Assumptions!$B$27,Assumptions!$B$28)))</x:f>
        <x:v>12.5</x:v>
      </x:c>
      <x:c r="T20" s="50" t="n">
        <x:f>ROUNDUP(MAX(S20,R20/(1-Assumptions!$B$6-Assumptions!$B$7))*2,0)/2</x:f>
        <x:v>56.5</x:v>
      </x:c>
      <x:c r="U20" s="54" t="n">
        <x:f>Assumptions!$B$5</x:f>
        <x:v>0.19</x:v>
      </x:c>
      <x:c r="V20" s="50" t="n">
        <x:f>T20*(1+U20)</x:f>
        <x:v>67.235</x:v>
      </x:c>
      <x:c r="W20" s="50" t="n">
        <x:f>T20*Assumptions!$B$6</x:f>
        <x:v>2.825</x:v>
      </x:c>
      <x:c r="X20" s="50" t="n">
        <x:f>T20-R20-W20</x:f>
        <x:v>31.222570000000008</x:v>
      </x:c>
      <x:c r="Y20" s="54" t="n">
        <x:f>IFERROR(X20/T20,0)</x:f>
        <x:v>0.5526118584070798</x:v>
      </x:c>
      <x:c r="Z20" s="50" t="n">
        <x:v>11.9</x:v>
      </x:c>
      <x:c r="AA20" s="46" t="str"/>
    </x:row>
    <x:row r="21" ht="28" customHeight="1">
      <x:c r="A21" s="46" t="str">
        <x:v>SKU-020</x:v>
      </x:c>
      <x:c r="B21" s="46" t="str">
        <x:v>Dual game-controller stand</x:v>
      </x:c>
      <x:c r="C21" s="46" t="str">
        <x:v>M</x:v>
      </x:c>
      <x:c r="D21" s="46" t="str">
        <x:v>PETG</x:v>
      </x:c>
      <x:c r="E21" s="48" t="n">
        <x:v>370</x:v>
      </x:c>
      <x:c r="F21" s="48" t="n">
        <x:v>8.2</x:v>
      </x:c>
      <x:c r="G21" s="48" t="n">
        <x:v>10</x:v>
      </x:c>
      <x:c r="H21" s="50" t="n">
        <x:f>IF(C21="S",Assumptions!$B$19,IF(C21="M",Assumptions!$B$20,IF(C21="L",Assumptions!$B$21,Assumptions!$B$22)))</x:f>
        <x:v>1</x:v>
      </x:c>
      <x:c r="I21" s="50" t="n">
        <x:v>0</x:v>
      </x:c>
      <x:c r="J21" s="50" t="n">
        <x:f>IF(D21="PLA",Assumptions!$B$31,IF(D21="PETG",Assumptions!$B$32,IF(D21="ASA",Assumptions!$B$33,IF(D21="TPU",Assumptions!$B$34,IF(D21="PC Blend",Assumptions!$B$35,Assumptions!$B$36)))))</x:f>
        <x:v>26</x:v>
      </x:c>
      <x:c r="K21" s="54" t="n">
        <x:f>Assumptions!$B$9</x:f>
        <x:v>0.08</x:v>
      </x:c>
      <x:c r="L21" s="50" t="n">
        <x:f>E21/1000*J21*(1+K21)</x:f>
        <x:v>10.3896</x:v>
      </x:c>
      <x:c r="M21" s="46" t="str">
        <x:v>Core</x:v>
      </x:c>
      <x:c r="N21" s="50" t="n">
        <x:f>IF(M21="Core",Assumptions!$B$13,IF(M21="Large",Assumptions!$B$14,IF(M21="Enclosed",Assumptions!$B$15,Assumptions!$B$16)))</x:f>
        <x:v>0.75</x:v>
      </x:c>
      <x:c r="O21" s="50" t="n">
        <x:f>F21*N21</x:f>
        <x:v>6.1499999999999995</x:v>
      </x:c>
      <x:c r="P21" s="50" t="n">
        <x:f>G21/60*Assumptions!$B$8</x:f>
        <x:v>5.333333333333333</x:v>
      </x:c>
      <x:c r="Q21" s="50" t="n">
        <x:f>(H21+I21+L21+O21+P21)*Assumptions!$B$10</x:f>
        <x:v>1.1436466666666667</x:v>
      </x:c>
      <x:c r="R21" s="50" t="n">
        <x:f>H21+I21+L21+O21+P21+Q21</x:f>
        <x:v>24.016579999999998</x:v>
      </x:c>
      <x:c r="S21" s="50" t="n">
        <x:f>IF(C21="S",Assumptions!$B$25,IF(C21="M",Assumptions!$B$26,IF(C21="L",Assumptions!$B$27,Assumptions!$B$28)))</x:f>
        <x:v>12.5</x:v>
      </x:c>
      <x:c r="T21" s="50" t="n">
        <x:f>ROUNDUP(MAX(S21,R21/(1-Assumptions!$B$6-Assumptions!$B$7))*2,0)/2</x:f>
        <x:v>60.5</x:v>
      </x:c>
      <x:c r="U21" s="54" t="n">
        <x:f>Assumptions!$B$5</x:f>
        <x:v>0.19</x:v>
      </x:c>
      <x:c r="V21" s="50" t="n">
        <x:f>T21*(1+U21)</x:f>
        <x:v>71.99499999999999</x:v>
      </x:c>
      <x:c r="W21" s="50" t="n">
        <x:f>T21*Assumptions!$B$6</x:f>
        <x:v>3.0250000000000004</x:v>
      </x:c>
      <x:c r="X21" s="50" t="n">
        <x:f>T21-R21-W21</x:f>
        <x:v>33.458420000000004</x:v>
      </x:c>
      <x:c r="Y21" s="54" t="n">
        <x:f>IFERROR(X21/T21,0)</x:f>
        <x:v>0.5530317355371901</x:v>
      </x:c>
      <x:c r="Z21" s="50" t="n">
        <x:v>11.9</x:v>
      </x:c>
      <x:c r="AA21" s="46" t="str"/>
    </x:row>
    <x:row r="22" ht="28" customHeight="1">
      <x:c r="A22" s="46" t="str">
        <x:v>SKU-021</x:v>
      </x:c>
      <x:c r="B22" s="46" t="str">
        <x:v>Freestanding headphone stand</x:v>
      </x:c>
      <x:c r="C22" s="46" t="str">
        <x:v>M</x:v>
      </x:c>
      <x:c r="D22" s="46" t="str">
        <x:v>PLA</x:v>
      </x:c>
      <x:c r="E22" s="48" t="n">
        <x:v>340</x:v>
      </x:c>
      <x:c r="F22" s="48" t="n">
        <x:v>7.5</x:v>
      </x:c>
      <x:c r="G22" s="48" t="n">
        <x:v>9</x:v>
      </x:c>
      <x:c r="H22" s="50" t="n">
        <x:f>IF(C22="S",Assumptions!$B$19,IF(C22="M",Assumptions!$B$20,IF(C22="L",Assumptions!$B$21,Assumptions!$B$22)))</x:f>
        <x:v>1</x:v>
      </x:c>
      <x:c r="I22" s="50" t="n">
        <x:v>0</x:v>
      </x:c>
      <x:c r="J22" s="50" t="n">
        <x:f>IF(D22="PLA",Assumptions!$B$31,IF(D22="PETG",Assumptions!$B$32,IF(D22="ASA",Assumptions!$B$33,IF(D22="TPU",Assumptions!$B$34,IF(D22="PC Blend",Assumptions!$B$35,Assumptions!$B$36)))))</x:f>
        <x:v>22</x:v>
      </x:c>
      <x:c r="K22" s="54" t="n">
        <x:f>Assumptions!$B$9</x:f>
        <x:v>0.08</x:v>
      </x:c>
      <x:c r="L22" s="50" t="n">
        <x:f>E22/1000*J22*(1+K22)</x:f>
        <x:v>8.0784</x:v>
      </x:c>
      <x:c r="M22" s="46" t="str">
        <x:v>Core</x:v>
      </x:c>
      <x:c r="N22" s="50" t="n">
        <x:f>IF(M22="Core",Assumptions!$B$13,IF(M22="Large",Assumptions!$B$14,IF(M22="Enclosed",Assumptions!$B$15,Assumptions!$B$16)))</x:f>
        <x:v>0.75</x:v>
      </x:c>
      <x:c r="O22" s="50" t="n">
        <x:f>F22*N22</x:f>
        <x:v>5.625</x:v>
      </x:c>
      <x:c r="P22" s="50" t="n">
        <x:f>G22/60*Assumptions!$B$8</x:f>
        <x:v>4.8</x:v>
      </x:c>
      <x:c r="Q22" s="50" t="n">
        <x:f>(H22+I22+L22+O22+P22)*Assumptions!$B$10</x:f>
        <x:v>0.97517</x:v>
      </x:c>
      <x:c r="R22" s="50" t="n">
        <x:f>H22+I22+L22+O22+P22+Q22</x:f>
        <x:v>20.478569999999998</x:v>
      </x:c>
      <x:c r="S22" s="50" t="n">
        <x:f>IF(C22="S",Assumptions!$B$25,IF(C22="M",Assumptions!$B$26,IF(C22="L",Assumptions!$B$27,Assumptions!$B$28)))</x:f>
        <x:v>12.5</x:v>
      </x:c>
      <x:c r="T22" s="50" t="n">
        <x:f>ROUNDUP(MAX(S22,R22/(1-Assumptions!$B$6-Assumptions!$B$7))*2,0)/2</x:f>
        <x:v>51.5</x:v>
      </x:c>
      <x:c r="U22" s="54" t="n">
        <x:f>Assumptions!$B$5</x:f>
        <x:v>0.19</x:v>
      </x:c>
      <x:c r="V22" s="50" t="n">
        <x:f>T22*(1+U22)</x:f>
        <x:v>61.285</x:v>
      </x:c>
      <x:c r="W22" s="50" t="n">
        <x:f>T22*Assumptions!$B$6</x:f>
        <x:v>2.575</x:v>
      </x:c>
      <x:c r="X22" s="50" t="n">
        <x:f>T22-R22-W22</x:f>
        <x:v>28.446430000000003</x:v>
      </x:c>
      <x:c r="Y22" s="54" t="n">
        <x:f>IFERROR(X22/T22,0)</x:f>
        <x:v>0.55235786407767</x:v>
      </x:c>
      <x:c r="Z22" s="50" t="n">
        <x:v>10.9</x:v>
      </x:c>
      <x:c r="AA22" s="46" t="str"/>
    </x:row>
    <x:row r="23" ht="28" customHeight="1">
      <x:c r="A23" s="46" t="str">
        <x:v>SKU-022</x:v>
      </x:c>
      <x:c r="B23" s="46" t="str">
        <x:v>Large tablet display stand</x:v>
      </x:c>
      <x:c r="C23" s="46" t="str">
        <x:v>M</x:v>
      </x:c>
      <x:c r="D23" s="46" t="str">
        <x:v>PETG</x:v>
      </x:c>
      <x:c r="E23" s="48" t="n">
        <x:v>300</x:v>
      </x:c>
      <x:c r="F23" s="48" t="n">
        <x:v>7</x:v>
      </x:c>
      <x:c r="G23" s="48" t="n">
        <x:v>9</x:v>
      </x:c>
      <x:c r="H23" s="50" t="n">
        <x:f>IF(C23="S",Assumptions!$B$19,IF(C23="M",Assumptions!$B$20,IF(C23="L",Assumptions!$B$21,Assumptions!$B$22)))</x:f>
        <x:v>1</x:v>
      </x:c>
      <x:c r="I23" s="50" t="n">
        <x:v>0</x:v>
      </x:c>
      <x:c r="J23" s="50" t="n">
        <x:f>IF(D23="PLA",Assumptions!$B$31,IF(D23="PETG",Assumptions!$B$32,IF(D23="ASA",Assumptions!$B$33,IF(D23="TPU",Assumptions!$B$34,IF(D23="PC Blend",Assumptions!$B$35,Assumptions!$B$36)))))</x:f>
        <x:v>26</x:v>
      </x:c>
      <x:c r="K23" s="54" t="n">
        <x:f>Assumptions!$B$9</x:f>
        <x:v>0.08</x:v>
      </x:c>
      <x:c r="L23" s="50" t="n">
        <x:f>E23/1000*J23*(1+K23)</x:f>
        <x:v>8.424</x:v>
      </x:c>
      <x:c r="M23" s="46" t="str">
        <x:v>Core</x:v>
      </x:c>
      <x:c r="N23" s="50" t="n">
        <x:f>IF(M23="Core",Assumptions!$B$13,IF(M23="Large",Assumptions!$B$14,IF(M23="Enclosed",Assumptions!$B$15,Assumptions!$B$16)))</x:f>
        <x:v>0.75</x:v>
      </x:c>
      <x:c r="O23" s="50" t="n">
        <x:f>F23*N23</x:f>
        <x:v>5.25</x:v>
      </x:c>
      <x:c r="P23" s="50" t="n">
        <x:f>G23/60*Assumptions!$B$8</x:f>
        <x:v>4.8</x:v>
      </x:c>
      <x:c r="Q23" s="50" t="n">
        <x:f>(H23+I23+L23+O23+P23)*Assumptions!$B$10</x:f>
        <x:v>0.9737</x:v>
      </x:c>
      <x:c r="R23" s="50" t="n">
        <x:f>H23+I23+L23+O23+P23+Q23</x:f>
        <x:v>20.4477</x:v>
      </x:c>
      <x:c r="S23" s="50" t="n">
        <x:f>IF(C23="S",Assumptions!$B$25,IF(C23="M",Assumptions!$B$26,IF(C23="L",Assumptions!$B$27,Assumptions!$B$28)))</x:f>
        <x:v>12.5</x:v>
      </x:c>
      <x:c r="T23" s="50" t="n">
        <x:f>ROUNDUP(MAX(S23,R23/(1-Assumptions!$B$6-Assumptions!$B$7))*2,0)/2</x:f>
        <x:v>51.5</x:v>
      </x:c>
      <x:c r="U23" s="54" t="n">
        <x:f>Assumptions!$B$5</x:f>
        <x:v>0.19</x:v>
      </x:c>
      <x:c r="V23" s="50" t="n">
        <x:f>T23*(1+U23)</x:f>
        <x:v>61.285</x:v>
      </x:c>
      <x:c r="W23" s="50" t="n">
        <x:f>T23*Assumptions!$B$6</x:f>
        <x:v>2.575</x:v>
      </x:c>
      <x:c r="X23" s="50" t="n">
        <x:f>T23-R23-W23</x:f>
        <x:v>28.4773</x:v>
      </x:c>
      <x:c r="Y23" s="54" t="n">
        <x:f>IFERROR(X23/T23,0)</x:f>
        <x:v>0.5529572815533981</x:v>
      </x:c>
      <x:c r="Z23" s="50" t="n">
        <x:v>10.9</x:v>
      </x:c>
      <x:c r="AA23" s="46" t="str"/>
    </x:row>
    <x:row r="24" ht="28" customHeight="1">
      <x:c r="A24" s="46" t="str">
        <x:v>SKU-023</x:v>
      </x:c>
      <x:c r="B24" s="46" t="str">
        <x:v>Labelable small-parts bin set</x:v>
      </x:c>
      <x:c r="C24" s="46" t="str">
        <x:v>M</x:v>
      </x:c>
      <x:c r="D24" s="46" t="str">
        <x:v>PETG</x:v>
      </x:c>
      <x:c r="E24" s="48" t="n">
        <x:v>340</x:v>
      </x:c>
      <x:c r="F24" s="48" t="n">
        <x:v>8</x:v>
      </x:c>
      <x:c r="G24" s="48" t="n">
        <x:v>10</x:v>
      </x:c>
      <x:c r="H24" s="50" t="n">
        <x:f>IF(C24="S",Assumptions!$B$19,IF(C24="M",Assumptions!$B$20,IF(C24="L",Assumptions!$B$21,Assumptions!$B$22)))</x:f>
        <x:v>1</x:v>
      </x:c>
      <x:c r="I24" s="50" t="n">
        <x:v>0</x:v>
      </x:c>
      <x:c r="J24" s="50" t="n">
        <x:f>IF(D24="PLA",Assumptions!$B$31,IF(D24="PETG",Assumptions!$B$32,IF(D24="ASA",Assumptions!$B$33,IF(D24="TPU",Assumptions!$B$34,IF(D24="PC Blend",Assumptions!$B$35,Assumptions!$B$36)))))</x:f>
        <x:v>26</x:v>
      </x:c>
      <x:c r="K24" s="54" t="n">
        <x:f>Assumptions!$B$9</x:f>
        <x:v>0.08</x:v>
      </x:c>
      <x:c r="L24" s="50" t="n">
        <x:f>E24/1000*J24*(1+K24)</x:f>
        <x:v>9.5472</x:v>
      </x:c>
      <x:c r="M24" s="46" t="str">
        <x:v>Core</x:v>
      </x:c>
      <x:c r="N24" s="50" t="n">
        <x:f>IF(M24="Core",Assumptions!$B$13,IF(M24="Large",Assumptions!$B$14,IF(M24="Enclosed",Assumptions!$B$15,Assumptions!$B$16)))</x:f>
        <x:v>0.75</x:v>
      </x:c>
      <x:c r="O24" s="50" t="n">
        <x:f>F24*N24</x:f>
        <x:v>6</x:v>
      </x:c>
      <x:c r="P24" s="50" t="n">
        <x:f>G24/60*Assumptions!$B$8</x:f>
        <x:v>5.333333333333333</x:v>
      </x:c>
      <x:c r="Q24" s="50" t="n">
        <x:f>(H24+I24+L24+O24+P24)*Assumptions!$B$10</x:f>
        <x:v>1.0940266666666667</x:v>
      </x:c>
      <x:c r="R24" s="50" t="n">
        <x:f>H24+I24+L24+O24+P24+Q24</x:f>
        <x:v>22.97456</x:v>
      </x:c>
      <x:c r="S24" s="50" t="n">
        <x:f>IF(C24="S",Assumptions!$B$25,IF(C24="M",Assumptions!$B$26,IF(C24="L",Assumptions!$B$27,Assumptions!$B$28)))</x:f>
        <x:v>12.5</x:v>
      </x:c>
      <x:c r="T24" s="50" t="n">
        <x:f>ROUNDUP(MAX(S24,R24/(1-Assumptions!$B$6-Assumptions!$B$7))*2,0)/2</x:f>
        <x:v>57.5</x:v>
      </x:c>
      <x:c r="U24" s="54" t="n">
        <x:f>Assumptions!$B$5</x:f>
        <x:v>0.19</x:v>
      </x:c>
      <x:c r="V24" s="50" t="n">
        <x:f>T24*(1+U24)</x:f>
        <x:v>68.425</x:v>
      </x:c>
      <x:c r="W24" s="50" t="n">
        <x:f>T24*Assumptions!$B$6</x:f>
        <x:v>2.875</x:v>
      </x:c>
      <x:c r="X24" s="50" t="n">
        <x:f>T24-R24-W24</x:f>
        <x:v>31.650440000000003</x:v>
      </x:c>
      <x:c r="Y24" s="54" t="n">
        <x:f>IFERROR(X24/T24,0)</x:f>
        <x:v>0.5504424347826088</x:v>
      </x:c>
      <x:c r="Z24" s="50" t="n">
        <x:v>11.9</x:v>
      </x:c>
      <x:c r="AA24" s="46" t="str"/>
    </x:row>
    <x:row r="25" ht="28" customHeight="1">
      <x:c r="A25" s="46" t="str">
        <x:v>SKU-024</x:v>
      </x:c>
      <x:c r="B25" s="46" t="str">
        <x:v>Vinyl record-divider label set</x:v>
      </x:c>
      <x:c r="C25" s="46" t="str">
        <x:v>M</x:v>
      </x:c>
      <x:c r="D25" s="46" t="str">
        <x:v>PETG</x:v>
      </x:c>
      <x:c r="E25" s="48" t="n">
        <x:v>250</x:v>
      </x:c>
      <x:c r="F25" s="48" t="n">
        <x:v>5.2</x:v>
      </x:c>
      <x:c r="G25" s="48" t="n">
        <x:v>15</x:v>
      </x:c>
      <x:c r="H25" s="50" t="n">
        <x:f>IF(C25="S",Assumptions!$B$19,IF(C25="M",Assumptions!$B$20,IF(C25="L",Assumptions!$B$21,Assumptions!$B$22)))</x:f>
        <x:v>1</x:v>
      </x:c>
      <x:c r="I25" s="50" t="n">
        <x:v>0</x:v>
      </x:c>
      <x:c r="J25" s="50" t="n">
        <x:f>IF(D25="PLA",Assumptions!$B$31,IF(D25="PETG",Assumptions!$B$32,IF(D25="ASA",Assumptions!$B$33,IF(D25="TPU",Assumptions!$B$34,IF(D25="PC Blend",Assumptions!$B$35,Assumptions!$B$36)))))</x:f>
        <x:v>26</x:v>
      </x:c>
      <x:c r="K25" s="54" t="n">
        <x:f>Assumptions!$B$9</x:f>
        <x:v>0.08</x:v>
      </x:c>
      <x:c r="L25" s="50" t="n">
        <x:f>E25/1000*J25*(1+K25)</x:f>
        <x:v>7.0200000000000005</x:v>
      </x:c>
      <x:c r="M25" s="46" t="str">
        <x:v>Core</x:v>
      </x:c>
      <x:c r="N25" s="50" t="n">
        <x:f>IF(M25="Core",Assumptions!$B$13,IF(M25="Large",Assumptions!$B$14,IF(M25="Enclosed",Assumptions!$B$15,Assumptions!$B$16)))</x:f>
        <x:v>0.75</x:v>
      </x:c>
      <x:c r="O25" s="50" t="n">
        <x:f>F25*N25</x:f>
        <x:v>3.9000000000000004</x:v>
      </x:c>
      <x:c r="P25" s="50" t="n">
        <x:f>G25/60*Assumptions!$B$8</x:f>
        <x:v>8</x:v>
      </x:c>
      <x:c r="Q25" s="50" t="n">
        <x:f>(H25+I25+L25+O25+P25)*Assumptions!$B$10</x:f>
        <x:v>0.9960000000000001</x:v>
      </x:c>
      <x:c r="R25" s="50" t="n">
        <x:f>H25+I25+L25+O25+P25+Q25</x:f>
        <x:v>20.916</x:v>
      </x:c>
      <x:c r="S25" s="50" t="n">
        <x:f>IF(C25="S",Assumptions!$B$25,IF(C25="M",Assumptions!$B$26,IF(C25="L",Assumptions!$B$27,Assumptions!$B$28)))</x:f>
        <x:v>12.5</x:v>
      </x:c>
      <x:c r="T25" s="50" t="n">
        <x:f>ROUNDUP(MAX(S25,R25/(1-Assumptions!$B$6-Assumptions!$B$7))*2,0)/2</x:f>
        <x:v>52.5</x:v>
      </x:c>
      <x:c r="U25" s="54" t="n">
        <x:f>Assumptions!$B$5</x:f>
        <x:v>0.19</x:v>
      </x:c>
      <x:c r="V25" s="50" t="n">
        <x:f>T25*(1+U25)</x:f>
        <x:v>62.474999999999994</x:v>
      </x:c>
      <x:c r="W25" s="50" t="n">
        <x:f>T25*Assumptions!$B$6</x:f>
        <x:v>2.625</x:v>
      </x:c>
      <x:c r="X25" s="50" t="n">
        <x:f>T25-R25-W25</x:f>
        <x:v>28.959</x:v>
      </x:c>
      <x:c r="Y25" s="54" t="n">
        <x:f>IFERROR(X25/T25,0)</x:f>
        <x:v>0.5516</x:v>
      </x:c>
      <x:c r="Z25" s="50" t="n">
        <x:v>9.9</x:v>
      </x:c>
      <x:c r="AA25" s="46" t="str"/>
    </x:row>
    <x:row r="26" ht="28" customHeight="1">
      <x:c r="A26" s="46" t="str">
        <x:v>SKU-025</x:v>
      </x:c>
      <x:c r="B26" s="46" t="str">
        <x:v>Snap-on journal pen loop</x:v>
      </x:c>
      <x:c r="C26" s="46" t="str">
        <x:v>S</x:v>
      </x:c>
      <x:c r="D26" s="46" t="str">
        <x:v>TPU</x:v>
      </x:c>
      <x:c r="E26" s="48" t="n">
        <x:v>22</x:v>
      </x:c>
      <x:c r="F26" s="48" t="n">
        <x:v>1</x:v>
      </x:c>
      <x:c r="G26" s="48" t="n">
        <x:v>7</x:v>
      </x:c>
      <x:c r="H26" s="50" t="n">
        <x:f>IF(C26="S",Assumptions!$B$19,IF(C26="M",Assumptions!$B$20,IF(C26="L",Assumptions!$B$21,Assumptions!$B$22)))</x:f>
        <x:v>0.6</x:v>
      </x:c>
      <x:c r="I26" s="50" t="n">
        <x:v>0</x:v>
      </x:c>
      <x:c r="J26" s="50" t="n">
        <x:f>IF(D26="PLA",Assumptions!$B$31,IF(D26="PETG",Assumptions!$B$32,IF(D26="ASA",Assumptions!$B$33,IF(D26="TPU",Assumptions!$B$34,IF(D26="PC Blend",Assumptions!$B$35,Assumptions!$B$36)))))</x:f>
        <x:v>35</x:v>
      </x:c>
      <x:c r="K26" s="54" t="n">
        <x:f>Assumptions!$B$9</x:f>
        <x:v>0.08</x:v>
      </x:c>
      <x:c r="L26" s="50" t="n">
        <x:f>E26/1000*J26*(1+K26)</x:f>
        <x:v>0.8316</x:v>
      </x:c>
      <x:c r="M26" s="46" t="str">
        <x:v>Flexible</x:v>
      </x:c>
      <x:c r="N26" s="50" t="n">
        <x:f>IF(M26="Core",Assumptions!$B$13,IF(M26="Large",Assumptions!$B$14,IF(M26="Enclosed",Assumptions!$B$15,Assumptions!$B$16)))</x:f>
        <x:v>0.85</x:v>
      </x:c>
      <x:c r="O26" s="50" t="n">
        <x:f>F26*N26</x:f>
        <x:v>0.85</x:v>
      </x:c>
      <x:c r="P26" s="50" t="n">
        <x:f>G26/60*Assumptions!$B$8</x:f>
        <x:v>3.7333333333333334</x:v>
      </x:c>
      <x:c r="Q26" s="50" t="n">
        <x:f>(H26+I26+L26+O26+P26)*Assumptions!$B$10</x:f>
        <x:v>0.3007466666666667</x:v>
      </x:c>
      <x:c r="R26" s="50" t="n">
        <x:f>H26+I26+L26+O26+P26+Q26</x:f>
        <x:v>6.31568</x:v>
      </x:c>
      <x:c r="S26" s="50" t="n">
        <x:f>IF(C26="S",Assumptions!$B$25,IF(C26="M",Assumptions!$B$26,IF(C26="L",Assumptions!$B$27,Assumptions!$B$28)))</x:f>
        <x:v>7.5</x:v>
      </x:c>
      <x:c r="T26" s="50" t="n">
        <x:f>ROUNDUP(MAX(S26,R26/(1-Assumptions!$B$6-Assumptions!$B$7))*2,0)/2</x:f>
        <x:v>16</x:v>
      </x:c>
      <x:c r="U26" s="54" t="n">
        <x:f>Assumptions!$B$5</x:f>
        <x:v>0.19</x:v>
      </x:c>
      <x:c r="V26" s="50" t="n">
        <x:f>T26*(1+U26)</x:f>
        <x:v>19.04</x:v>
      </x:c>
      <x:c r="W26" s="50" t="n">
        <x:f>T26*Assumptions!$B$6</x:f>
        <x:v>0.8</x:v>
      </x:c>
      <x:c r="X26" s="50" t="n">
        <x:f>T26-R26-W26</x:f>
        <x:v>8.884319999999999</x:v>
      </x:c>
      <x:c r="Y26" s="54" t="n">
        <x:f>IFERROR(X26/T26,0)</x:f>
        <x:v>0.5552699999999999</x:v>
      </x:c>
      <x:c r="Z26" s="50" t="n">
        <x:v>4.9</x:v>
      </x:c>
      <x:c r="AA26" s="46" t="str"/>
    </x:row>
    <x:row r="27" ht="28" customHeight="1">
      <x:c r="A27" s="46" t="str">
        <x:v>SKU-026</x:v>
      </x:c>
      <x:c r="B27" s="46" t="str">
        <x:v>Stencil-ruler bookmark set</x:v>
      </x:c>
      <x:c r="C27" s="46" t="str">
        <x:v>M</x:v>
      </x:c>
      <x:c r="D27" s="46" t="str">
        <x:v>PETG</x:v>
      </x:c>
      <x:c r="E27" s="48" t="n">
        <x:v>48</x:v>
      </x:c>
      <x:c r="F27" s="48" t="n">
        <x:v>1.6</x:v>
      </x:c>
      <x:c r="G27" s="48" t="n">
        <x:v>8</x:v>
      </x:c>
      <x:c r="H27" s="50" t="n">
        <x:f>IF(C27="S",Assumptions!$B$19,IF(C27="M",Assumptions!$B$20,IF(C27="L",Assumptions!$B$21,Assumptions!$B$22)))</x:f>
        <x:v>1</x:v>
      </x:c>
      <x:c r="I27" s="50" t="n">
        <x:v>0</x:v>
      </x:c>
      <x:c r="J27" s="50" t="n">
        <x:f>IF(D27="PLA",Assumptions!$B$31,IF(D27="PETG",Assumptions!$B$32,IF(D27="ASA",Assumptions!$B$33,IF(D27="TPU",Assumptions!$B$34,IF(D27="PC Blend",Assumptions!$B$35,Assumptions!$B$36)))))</x:f>
        <x:v>26</x:v>
      </x:c>
      <x:c r="K27" s="54" t="n">
        <x:f>Assumptions!$B$9</x:f>
        <x:v>0.08</x:v>
      </x:c>
      <x:c r="L27" s="50" t="n">
        <x:f>E27/1000*J27*(1+K27)</x:f>
        <x:v>1.3478400000000001</x:v>
      </x:c>
      <x:c r="M27" s="46" t="str">
        <x:v>Core</x:v>
      </x:c>
      <x:c r="N27" s="50" t="n">
        <x:f>IF(M27="Core",Assumptions!$B$13,IF(M27="Large",Assumptions!$B$14,IF(M27="Enclosed",Assumptions!$B$15,Assumptions!$B$16)))</x:f>
        <x:v>0.75</x:v>
      </x:c>
      <x:c r="O27" s="50" t="n">
        <x:f>F27*N27</x:f>
        <x:v>1.2000000000000002</x:v>
      </x:c>
      <x:c r="P27" s="50" t="n">
        <x:f>G27/60*Assumptions!$B$8</x:f>
        <x:v>4.266666666666667</x:v>
      </x:c>
      <x:c r="Q27" s="50" t="n">
        <x:f>(H27+I27+L27+O27+P27)*Assumptions!$B$10</x:f>
        <x:v>0.39072533333333337</x:v>
      </x:c>
      <x:c r="R27" s="50" t="n">
        <x:f>H27+I27+L27+O27+P27+Q27</x:f>
        <x:v>8.205232</x:v>
      </x:c>
      <x:c r="S27" s="50" t="n">
        <x:f>IF(C27="S",Assumptions!$B$25,IF(C27="M",Assumptions!$B$26,IF(C27="L",Assumptions!$B$27,Assumptions!$B$28)))</x:f>
        <x:v>12.5</x:v>
      </x:c>
      <x:c r="T27" s="50" t="n">
        <x:f>ROUNDUP(MAX(S27,R27/(1-Assumptions!$B$6-Assumptions!$B$7))*2,0)/2</x:f>
        <x:v>21</x:v>
      </x:c>
      <x:c r="U27" s="54" t="n">
        <x:f>Assumptions!$B$5</x:f>
        <x:v>0.19</x:v>
      </x:c>
      <x:c r="V27" s="50" t="n">
        <x:f>T27*(1+U27)</x:f>
        <x:v>24.99</x:v>
      </x:c>
      <x:c r="W27" s="50" t="n">
        <x:f>T27*Assumptions!$B$6</x:f>
        <x:v>1.05</x:v>
      </x:c>
      <x:c r="X27" s="50" t="n">
        <x:f>T27-R27-W27</x:f>
        <x:v>11.744767999999999</x:v>
      </x:c>
      <x:c r="Y27" s="54" t="n">
        <x:f>IFERROR(X27/T27,0)</x:f>
        <x:v>0.5592746666666666</x:v>
      </x:c>
      <x:c r="Z27" s="50" t="n">
        <x:v>5.9</x:v>
      </x:c>
      <x:c r="AA27" s="46" t="str"/>
    </x:row>
    <x:row r="28" ht="28" customHeight="1">
      <x:c r="A28" s="46" t="str">
        <x:v>SKU-027</x:v>
      </x:c>
      <x:c r="B28" s="46" t="str">
        <x:v>Personalized event place-card token set</x:v>
      </x:c>
      <x:c r="C28" s="46" t="str">
        <x:v>S</x:v>
      </x:c>
      <x:c r="D28" s="46" t="str">
        <x:v>PLA</x:v>
      </x:c>
      <x:c r="E28" s="48" t="n">
        <x:v>320</x:v>
      </x:c>
      <x:c r="F28" s="48" t="n">
        <x:v>7</x:v>
      </x:c>
      <x:c r="G28" s="48" t="n">
        <x:v>18</x:v>
      </x:c>
      <x:c r="H28" s="50" t="n">
        <x:f>IF(C28="S",Assumptions!$B$19,IF(C28="M",Assumptions!$B$20,IF(C28="L",Assumptions!$B$21,Assumptions!$B$22)))</x:f>
        <x:v>0.6</x:v>
      </x:c>
      <x:c r="I28" s="50" t="n">
        <x:v>0</x:v>
      </x:c>
      <x:c r="J28" s="50" t="n">
        <x:f>IF(D28="PLA",Assumptions!$B$31,IF(D28="PETG",Assumptions!$B$32,IF(D28="ASA",Assumptions!$B$33,IF(D28="TPU",Assumptions!$B$34,IF(D28="PC Blend",Assumptions!$B$35,Assumptions!$B$36)))))</x:f>
        <x:v>22</x:v>
      </x:c>
      <x:c r="K28" s="54" t="n">
        <x:f>Assumptions!$B$9</x:f>
        <x:v>0.08</x:v>
      </x:c>
      <x:c r="L28" s="50" t="n">
        <x:f>E28/1000*J28*(1+K28)</x:f>
        <x:v>7.6032</x:v>
      </x:c>
      <x:c r="M28" s="46" t="str">
        <x:v>Core</x:v>
      </x:c>
      <x:c r="N28" s="50" t="n">
        <x:f>IF(M28="Core",Assumptions!$B$13,IF(M28="Large",Assumptions!$B$14,IF(M28="Enclosed",Assumptions!$B$15,Assumptions!$B$16)))</x:f>
        <x:v>0.75</x:v>
      </x:c>
      <x:c r="O28" s="50" t="n">
        <x:f>F28*N28</x:f>
        <x:v>5.25</x:v>
      </x:c>
      <x:c r="P28" s="50" t="n">
        <x:f>G28/60*Assumptions!$B$8</x:f>
        <x:v>9.6</x:v>
      </x:c>
      <x:c r="Q28" s="50" t="n">
        <x:f>(H28+I28+L28+O28+P28)*Assumptions!$B$10</x:f>
        <x:v>1.15266</x:v>
      </x:c>
      <x:c r="R28" s="50" t="n">
        <x:f>H28+I28+L28+O28+P28+Q28</x:f>
        <x:v>24.20586</x:v>
      </x:c>
      <x:c r="S28" s="50" t="n">
        <x:f>IF(C28="S",Assumptions!$B$25,IF(C28="M",Assumptions!$B$26,IF(C28="L",Assumptions!$B$27,Assumptions!$B$28)))</x:f>
        <x:v>7.5</x:v>
      </x:c>
      <x:c r="T28" s="50" t="n">
        <x:f>ROUNDUP(MAX(S28,R28/(1-Assumptions!$B$6-Assumptions!$B$7))*2,0)/2</x:f>
        <x:v>61</x:v>
      </x:c>
      <x:c r="U28" s="54" t="n">
        <x:f>Assumptions!$B$5</x:f>
        <x:v>0.19</x:v>
      </x:c>
      <x:c r="V28" s="50" t="n">
        <x:f>T28*(1+U28)</x:f>
        <x:v>72.59</x:v>
      </x:c>
      <x:c r="W28" s="50" t="n">
        <x:f>T28*Assumptions!$B$6</x:f>
        <x:v>3.0500000000000003</x:v>
      </x:c>
      <x:c r="X28" s="50" t="n">
        <x:f>T28-R28-W28</x:f>
        <x:v>33.74414</x:v>
      </x:c>
      <x:c r="Y28" s="54" t="n">
        <x:f>IFERROR(X28/T28,0)</x:f>
        <x:v>0.5531826229508197</x:v>
      </x:c>
      <x:c r="Z28" s="50" t="n">
        <x:v>12.9</x:v>
      </x:c>
      <x:c r="AA28" s="46" t="str"/>
    </x:row>
    <x:row r="29" ht="28" customHeight="1">
      <x:c r="A29" s="46" t="str">
        <x:v>SKU-028</x:v>
      </x:c>
      <x:c r="B29" s="46" t="str">
        <x:v>Mahjong score-marker station</x:v>
      </x:c>
      <x:c r="C29" s="46" t="str">
        <x:v>M</x:v>
      </x:c>
      <x:c r="D29" s="46" t="str">
        <x:v>PLA</x:v>
      </x:c>
      <x:c r="E29" s="48" t="n">
        <x:v>130</x:v>
      </x:c>
      <x:c r="F29" s="48" t="n">
        <x:v>3</x:v>
      </x:c>
      <x:c r="G29" s="48" t="n">
        <x:v>7</x:v>
      </x:c>
      <x:c r="H29" s="50" t="n">
        <x:f>IF(C29="S",Assumptions!$B$19,IF(C29="M",Assumptions!$B$20,IF(C29="L",Assumptions!$B$21,Assumptions!$B$22)))</x:f>
        <x:v>1</x:v>
      </x:c>
      <x:c r="I29" s="50" t="n">
        <x:v>0</x:v>
      </x:c>
      <x:c r="J29" s="50" t="n">
        <x:f>IF(D29="PLA",Assumptions!$B$31,IF(D29="PETG",Assumptions!$B$32,IF(D29="ASA",Assumptions!$B$33,IF(D29="TPU",Assumptions!$B$34,IF(D29="PC Blend",Assumptions!$B$35,Assumptions!$B$36)))))</x:f>
        <x:v>22</x:v>
      </x:c>
      <x:c r="K29" s="54" t="n">
        <x:f>Assumptions!$B$9</x:f>
        <x:v>0.08</x:v>
      </x:c>
      <x:c r="L29" s="50" t="n">
        <x:f>E29/1000*J29*(1+K29)</x:f>
        <x:v>3.0888000000000004</x:v>
      </x:c>
      <x:c r="M29" s="46" t="str">
        <x:v>Core</x:v>
      </x:c>
      <x:c r="N29" s="50" t="n">
        <x:f>IF(M29="Core",Assumptions!$B$13,IF(M29="Large",Assumptions!$B$14,IF(M29="Enclosed",Assumptions!$B$15,Assumptions!$B$16)))</x:f>
        <x:v>0.75</x:v>
      </x:c>
      <x:c r="O29" s="50" t="n">
        <x:f>F29*N29</x:f>
        <x:v>2.25</x:v>
      </x:c>
      <x:c r="P29" s="50" t="n">
        <x:f>G29/60*Assumptions!$B$8</x:f>
        <x:v>3.7333333333333334</x:v>
      </x:c>
      <x:c r="Q29" s="50" t="n">
        <x:f>(H29+I29+L29+O29+P29)*Assumptions!$B$10</x:f>
        <x:v>0.5036066666666666</x:v>
      </x:c>
      <x:c r="R29" s="50" t="n">
        <x:f>H29+I29+L29+O29+P29+Q29</x:f>
        <x:v>10.57574</x:v>
      </x:c>
      <x:c r="S29" s="50" t="n">
        <x:f>IF(C29="S",Assumptions!$B$25,IF(C29="M",Assumptions!$B$26,IF(C29="L",Assumptions!$B$27,Assumptions!$B$28)))</x:f>
        <x:v>12.5</x:v>
      </x:c>
      <x:c r="T29" s="50" t="n">
        <x:f>ROUNDUP(MAX(S29,R29/(1-Assumptions!$B$6-Assumptions!$B$7))*2,0)/2</x:f>
        <x:v>26.5</x:v>
      </x:c>
      <x:c r="U29" s="54" t="n">
        <x:f>Assumptions!$B$5</x:f>
        <x:v>0.19</x:v>
      </x:c>
      <x:c r="V29" s="50" t="n">
        <x:f>T29*(1+U29)</x:f>
        <x:v>31.535</x:v>
      </x:c>
      <x:c r="W29" s="50" t="n">
        <x:f>T29*Assumptions!$B$6</x:f>
        <x:v>1.3250000000000002</x:v>
      </x:c>
      <x:c r="X29" s="50" t="n">
        <x:f>T29-R29-W29</x:f>
        <x:v>14.599260000000001</x:v>
      </x:c>
      <x:c r="Y29" s="54" t="n">
        <x:f>IFERROR(X29/T29,0)</x:f>
        <x:v>0.5509154716981133</x:v>
      </x:c>
      <x:c r="Z29" s="50" t="n">
        <x:v>7.9</x:v>
      </x:c>
      <x:c r="AA29" s="46" t="str"/>
    </x:row>
    <x:row r="30" ht="28" customHeight="1">
      <x:c r="A30" s="46" t="str">
        <x:v>SKU-029</x:v>
      </x:c>
      <x:c r="B30" s="46" t="str">
        <x:v>Glass-tube bud-vase holder</x:v>
      </x:c>
      <x:c r="C30" s="46" t="str">
        <x:v>M</x:v>
      </x:c>
      <x:c r="D30" s="46" t="str">
        <x:v>PLA</x:v>
      </x:c>
      <x:c r="E30" s="48" t="n">
        <x:v>230</x:v>
      </x:c>
      <x:c r="F30" s="48" t="n">
        <x:v>5.3</x:v>
      </x:c>
      <x:c r="G30" s="48" t="n">
        <x:v>10</x:v>
      </x:c>
      <x:c r="H30" s="50" t="n">
        <x:f>IF(C30="S",Assumptions!$B$19,IF(C30="M",Assumptions!$B$20,IF(C30="L",Assumptions!$B$21,Assumptions!$B$22)))</x:f>
        <x:v>1</x:v>
      </x:c>
      <x:c r="I30" s="50" t="n">
        <x:v>0</x:v>
      </x:c>
      <x:c r="J30" s="50" t="n">
        <x:f>IF(D30="PLA",Assumptions!$B$31,IF(D30="PETG",Assumptions!$B$32,IF(D30="ASA",Assumptions!$B$33,IF(D30="TPU",Assumptions!$B$34,IF(D30="PC Blend",Assumptions!$B$35,Assumptions!$B$36)))))</x:f>
        <x:v>22</x:v>
      </x:c>
      <x:c r="K30" s="54" t="n">
        <x:f>Assumptions!$B$9</x:f>
        <x:v>0.08</x:v>
      </x:c>
      <x:c r="L30" s="50" t="n">
        <x:f>E30/1000*J30*(1+K30)</x:f>
        <x:v>5.464800000000001</x:v>
      </x:c>
      <x:c r="M30" s="46" t="str">
        <x:v>Core</x:v>
      </x:c>
      <x:c r="N30" s="50" t="n">
        <x:f>IF(M30="Core",Assumptions!$B$13,IF(M30="Large",Assumptions!$B$14,IF(M30="Enclosed",Assumptions!$B$15,Assumptions!$B$16)))</x:f>
        <x:v>0.75</x:v>
      </x:c>
      <x:c r="O30" s="50" t="n">
        <x:f>F30*N30</x:f>
        <x:v>3.9749999999999996</x:v>
      </x:c>
      <x:c r="P30" s="50" t="n">
        <x:f>G30/60*Assumptions!$B$8</x:f>
        <x:v>5.333333333333333</x:v>
      </x:c>
      <x:c r="Q30" s="50" t="n">
        <x:f>(H30+I30+L30+O30+P30)*Assumptions!$B$10</x:f>
        <x:v>0.7886566666666668</x:v>
      </x:c>
      <x:c r="R30" s="50" t="n">
        <x:f>H30+I30+L30+O30+P30+Q30</x:f>
        <x:v>16.561790000000002</x:v>
      </x:c>
      <x:c r="S30" s="50" t="n">
        <x:f>IF(C30="S",Assumptions!$B$25,IF(C30="M",Assumptions!$B$26,IF(C30="L",Assumptions!$B$27,Assumptions!$B$28)))</x:f>
        <x:v>12.5</x:v>
      </x:c>
      <x:c r="T30" s="50" t="n">
        <x:f>ROUNDUP(MAX(S30,R30/(1-Assumptions!$B$6-Assumptions!$B$7))*2,0)/2</x:f>
        <x:v>41.5</x:v>
      </x:c>
      <x:c r="U30" s="54" t="n">
        <x:f>Assumptions!$B$5</x:f>
        <x:v>0.19</x:v>
      </x:c>
      <x:c r="V30" s="50" t="n">
        <x:f>T30*(1+U30)</x:f>
        <x:v>49.385</x:v>
      </x:c>
      <x:c r="W30" s="50" t="n">
        <x:f>T30*Assumptions!$B$6</x:f>
        <x:v>2.075</x:v>
      </x:c>
      <x:c r="X30" s="50" t="n">
        <x:f>T30-R30-W30</x:f>
        <x:v>22.86321</x:v>
      </x:c>
      <x:c r="Y30" s="54" t="n">
        <x:f>IFERROR(X30/T30,0)</x:f>
        <x:v>0.5509207228915662</x:v>
      </x:c>
      <x:c r="Z30" s="50" t="n">
        <x:v>10.9</x:v>
      </x:c>
      <x:c r="AA30" s="46" t="str"/>
    </x:row>
    <x:row r="31" ht="28" customHeight="1">
      <x:c r="A31" s="46" t="str">
        <x:v>SKU-030</x:v>
      </x:c>
      <x:c r="B31" s="46" t="str">
        <x:v>Vinyl 'Now Playing' display stand</x:v>
      </x:c>
      <x:c r="C31" s="46" t="str">
        <x:v>M</x:v>
      </x:c>
      <x:c r="D31" s="46" t="str">
        <x:v>PLA</x:v>
      </x:c>
      <x:c r="E31" s="48" t="n">
        <x:v>270</x:v>
      </x:c>
      <x:c r="F31" s="48" t="n">
        <x:v>6</x:v>
      </x:c>
      <x:c r="G31" s="48" t="n">
        <x:v>8</x:v>
      </x:c>
      <x:c r="H31" s="50" t="n">
        <x:f>IF(C31="S",Assumptions!$B$19,IF(C31="M",Assumptions!$B$20,IF(C31="L",Assumptions!$B$21,Assumptions!$B$22)))</x:f>
        <x:v>1</x:v>
      </x:c>
      <x:c r="I31" s="50" t="n">
        <x:v>0</x:v>
      </x:c>
      <x:c r="J31" s="50" t="n">
        <x:f>IF(D31="PLA",Assumptions!$B$31,IF(D31="PETG",Assumptions!$B$32,IF(D31="ASA",Assumptions!$B$33,IF(D31="TPU",Assumptions!$B$34,IF(D31="PC Blend",Assumptions!$B$35,Assumptions!$B$36)))))</x:f>
        <x:v>22</x:v>
      </x:c>
      <x:c r="K31" s="54" t="n">
        <x:f>Assumptions!$B$9</x:f>
        <x:v>0.08</x:v>
      </x:c>
      <x:c r="L31" s="50" t="n">
        <x:f>E31/1000*J31*(1+K31)</x:f>
        <x:v>6.4152000000000005</x:v>
      </x:c>
      <x:c r="M31" s="46" t="str">
        <x:v>Core</x:v>
      </x:c>
      <x:c r="N31" s="50" t="n">
        <x:f>IF(M31="Core",Assumptions!$B$13,IF(M31="Large",Assumptions!$B$14,IF(M31="Enclosed",Assumptions!$B$15,Assumptions!$B$16)))</x:f>
        <x:v>0.75</x:v>
      </x:c>
      <x:c r="O31" s="50" t="n">
        <x:f>F31*N31</x:f>
        <x:v>4.5</x:v>
      </x:c>
      <x:c r="P31" s="50" t="n">
        <x:f>G31/60*Assumptions!$B$8</x:f>
        <x:v>4.266666666666667</x:v>
      </x:c>
      <x:c r="Q31" s="50" t="n">
        <x:f>(H31+I31+L31+O31+P31)*Assumptions!$B$10</x:f>
        <x:v>0.8090933333333334</x:v>
      </x:c>
      <x:c r="R31" s="50" t="n">
        <x:f>H31+I31+L31+O31+P31+Q31</x:f>
        <x:v>16.99096</x:v>
      </x:c>
      <x:c r="S31" s="50" t="n">
        <x:f>IF(C31="S",Assumptions!$B$25,IF(C31="M",Assumptions!$B$26,IF(C31="L",Assumptions!$B$27,Assumptions!$B$28)))</x:f>
        <x:v>12.5</x:v>
      </x:c>
      <x:c r="T31" s="50" t="n">
        <x:f>ROUNDUP(MAX(S31,R31/(1-Assumptions!$B$6-Assumptions!$B$7))*2,0)/2</x:f>
        <x:v>42.5</x:v>
      </x:c>
      <x:c r="U31" s="54" t="n">
        <x:f>Assumptions!$B$5</x:f>
        <x:v>0.19</x:v>
      </x:c>
      <x:c r="V31" s="50" t="n">
        <x:f>T31*(1+U31)</x:f>
        <x:v>50.574999999999996</x:v>
      </x:c>
      <x:c r="W31" s="50" t="n">
        <x:f>T31*Assumptions!$B$6</x:f>
        <x:v>2.125</x:v>
      </x:c>
      <x:c r="X31" s="50" t="n">
        <x:f>T31-R31-W31</x:f>
        <x:v>23.38404</x:v>
      </x:c>
      <x:c r="Y31" s="54" t="n">
        <x:f>IFERROR(X31/T31,0)</x:f>
        <x:v>0.5502127058823529</x:v>
      </x:c>
      <x:c r="Z31" s="50" t="n">
        <x:v>8.9</x:v>
      </x:c>
      <x:c r="AA31" s="46" t="str"/>
    </x:row>
    <x:row r="32" ht="28" customHeight="1">
      <x:c r="A32" s="46" t="str">
        <x:v>SKU-031</x:v>
      </x:c>
      <x:c r="B32" s="46" t="str">
        <x:v>City skyline and street-map panel</x:v>
      </x:c>
      <x:c r="C32" s="46" t="str">
        <x:v>M</x:v>
      </x:c>
      <x:c r="D32" s="46" t="str">
        <x:v>PLA</x:v>
      </x:c>
      <x:c r="E32" s="48" t="n">
        <x:v>360</x:v>
      </x:c>
      <x:c r="F32" s="48" t="n">
        <x:v>8</x:v>
      </x:c>
      <x:c r="G32" s="48" t="n">
        <x:v>14</x:v>
      </x:c>
      <x:c r="H32" s="50" t="n">
        <x:f>IF(C32="S",Assumptions!$B$19,IF(C32="M",Assumptions!$B$20,IF(C32="L",Assumptions!$B$21,Assumptions!$B$22)))</x:f>
        <x:v>1</x:v>
      </x:c>
      <x:c r="I32" s="50" t="n">
        <x:v>0</x:v>
      </x:c>
      <x:c r="J32" s="50" t="n">
        <x:f>IF(D32="PLA",Assumptions!$B$31,IF(D32="PETG",Assumptions!$B$32,IF(D32="ASA",Assumptions!$B$33,IF(D32="TPU",Assumptions!$B$34,IF(D32="PC Blend",Assumptions!$B$35,Assumptions!$B$36)))))</x:f>
        <x:v>22</x:v>
      </x:c>
      <x:c r="K32" s="54" t="n">
        <x:f>Assumptions!$B$9</x:f>
        <x:v>0.08</x:v>
      </x:c>
      <x:c r="L32" s="50" t="n">
        <x:f>E32/1000*J32*(1+K32)</x:f>
        <x:v>8.553600000000001</x:v>
      </x:c>
      <x:c r="M32" s="46" t="str">
        <x:v>Core</x:v>
      </x:c>
      <x:c r="N32" s="50" t="n">
        <x:f>IF(M32="Core",Assumptions!$B$13,IF(M32="Large",Assumptions!$B$14,IF(M32="Enclosed",Assumptions!$B$15,Assumptions!$B$16)))</x:f>
        <x:v>0.75</x:v>
      </x:c>
      <x:c r="O32" s="50" t="n">
        <x:f>F32*N32</x:f>
        <x:v>6</x:v>
      </x:c>
      <x:c r="P32" s="50" t="n">
        <x:f>G32/60*Assumptions!$B$8</x:f>
        <x:v>7.466666666666667</x:v>
      </x:c>
      <x:c r="Q32" s="50" t="n">
        <x:f>(H32+I32+L32+O32+P32)*Assumptions!$B$10</x:f>
        <x:v>1.1510133333333334</x:v>
      </x:c>
      <x:c r="R32" s="50" t="n">
        <x:f>H32+I32+L32+O32+P32+Q32</x:f>
        <x:v>24.171280000000003</x:v>
      </x:c>
      <x:c r="S32" s="50" t="n">
        <x:f>IF(C32="S",Assumptions!$B$25,IF(C32="M",Assumptions!$B$26,IF(C32="L",Assumptions!$B$27,Assumptions!$B$28)))</x:f>
        <x:v>12.5</x:v>
      </x:c>
      <x:c r="T32" s="50" t="n">
        <x:f>ROUNDUP(MAX(S32,R32/(1-Assumptions!$B$6-Assumptions!$B$7))*2,0)/2</x:f>
        <x:v>60.5</x:v>
      </x:c>
      <x:c r="U32" s="54" t="n">
        <x:f>Assumptions!$B$5</x:f>
        <x:v>0.19</x:v>
      </x:c>
      <x:c r="V32" s="50" t="n">
        <x:f>T32*(1+U32)</x:f>
        <x:v>71.99499999999999</x:v>
      </x:c>
      <x:c r="W32" s="50" t="n">
        <x:f>T32*Assumptions!$B$6</x:f>
        <x:v>3.0250000000000004</x:v>
      </x:c>
      <x:c r="X32" s="50" t="n">
        <x:f>T32-R32-W32</x:f>
        <x:v>33.30372</x:v>
      </x:c>
      <x:c r="Y32" s="54" t="n">
        <x:f>IFERROR(X32/T32,0)</x:f>
        <x:v>0.5504747107438016</x:v>
      </x:c>
      <x:c r="Z32" s="50" t="n">
        <x:v>14.9</x:v>
      </x:c>
      <x:c r="AA32" s="46" t="str"/>
    </x:row>
    <x:row r="33" ht="28" customHeight="1">
      <x:c r="A33" s="46" t="str">
        <x:v>SKU-032</x:v>
      </x:c>
      <x:c r="B33" s="46" t="str">
        <x:v>Custom topographic relief tile</x:v>
      </x:c>
      <x:c r="C33" s="46" t="str">
        <x:v>M</x:v>
      </x:c>
      <x:c r="D33" s="46" t="str">
        <x:v>PLA</x:v>
      </x:c>
      <x:c r="E33" s="48" t="n">
        <x:v>290</x:v>
      </x:c>
      <x:c r="F33" s="48" t="n">
        <x:v>6.5</x:v>
      </x:c>
      <x:c r="G33" s="48" t="n">
        <x:v>12</x:v>
      </x:c>
      <x:c r="H33" s="50" t="n">
        <x:f>IF(C33="S",Assumptions!$B$19,IF(C33="M",Assumptions!$B$20,IF(C33="L",Assumptions!$B$21,Assumptions!$B$22)))</x:f>
        <x:v>1</x:v>
      </x:c>
      <x:c r="I33" s="50" t="n">
        <x:v>0</x:v>
      </x:c>
      <x:c r="J33" s="50" t="n">
        <x:f>IF(D33="PLA",Assumptions!$B$31,IF(D33="PETG",Assumptions!$B$32,IF(D33="ASA",Assumptions!$B$33,IF(D33="TPU",Assumptions!$B$34,IF(D33="PC Blend",Assumptions!$B$35,Assumptions!$B$36)))))</x:f>
        <x:v>22</x:v>
      </x:c>
      <x:c r="K33" s="54" t="n">
        <x:f>Assumptions!$B$9</x:f>
        <x:v>0.08</x:v>
      </x:c>
      <x:c r="L33" s="50" t="n">
        <x:f>E33/1000*J33*(1+K33)</x:f>
        <x:v>6.8904000000000005</x:v>
      </x:c>
      <x:c r="M33" s="46" t="str">
        <x:v>Core</x:v>
      </x:c>
      <x:c r="N33" s="50" t="n">
        <x:f>IF(M33="Core",Assumptions!$B$13,IF(M33="Large",Assumptions!$B$14,IF(M33="Enclosed",Assumptions!$B$15,Assumptions!$B$16)))</x:f>
        <x:v>0.75</x:v>
      </x:c>
      <x:c r="O33" s="50" t="n">
        <x:f>F33*N33</x:f>
        <x:v>4.875</x:v>
      </x:c>
      <x:c r="P33" s="50" t="n">
        <x:f>G33/60*Assumptions!$B$8</x:f>
        <x:v>6.4</x:v>
      </x:c>
      <x:c r="Q33" s="50" t="n">
        <x:f>(H33+I33+L33+O33+P33)*Assumptions!$B$10</x:f>
        <x:v>0.95827</x:v>
      </x:c>
      <x:c r="R33" s="50" t="n">
        <x:f>H33+I33+L33+O33+P33+Q33</x:f>
        <x:v>20.123669999999997</x:v>
      </x:c>
      <x:c r="S33" s="50" t="n">
        <x:f>IF(C33="S",Assumptions!$B$25,IF(C33="M",Assumptions!$B$26,IF(C33="L",Assumptions!$B$27,Assumptions!$B$28)))</x:f>
        <x:v>12.5</x:v>
      </x:c>
      <x:c r="T33" s="50" t="n">
        <x:f>ROUNDUP(MAX(S33,R33/(1-Assumptions!$B$6-Assumptions!$B$7))*2,0)/2</x:f>
        <x:v>50.5</x:v>
      </x:c>
      <x:c r="U33" s="54" t="n">
        <x:f>Assumptions!$B$5</x:f>
        <x:v>0.19</x:v>
      </x:c>
      <x:c r="V33" s="50" t="n">
        <x:f>T33*(1+U33)</x:f>
        <x:v>60.095</x:v>
      </x:c>
      <x:c r="W33" s="50" t="n">
        <x:f>T33*Assumptions!$B$6</x:f>
        <x:v>2.5250000000000004</x:v>
      </x:c>
      <x:c r="X33" s="50" t="n">
        <x:f>T33-R33-W33</x:f>
        <x:v>27.851330000000004</x:v>
      </x:c>
      <x:c r="Y33" s="54" t="n">
        <x:f>IFERROR(X33/T33,0)</x:f>
        <x:v>0.5515114851485149</x:v>
      </x:c>
      <x:c r="Z33" s="50" t="n">
        <x:v>14.9</x:v>
      </x:c>
      <x:c r="AA33" s="46" t="str"/>
    </x:row>
    <x:row r="34" ht="28" customHeight="1">
      <x:c r="A34" s="46" t="str">
        <x:v>SKU-033</x:v>
      </x:c>
      <x:c r="B34" s="46" t="str">
        <x:v>Modular botanical relief set</x:v>
      </x:c>
      <x:c r="C34" s="46" t="str">
        <x:v>M</x:v>
      </x:c>
      <x:c r="D34" s="46" t="str">
        <x:v>PLA</x:v>
      </x:c>
      <x:c r="E34" s="48" t="n">
        <x:v>620</x:v>
      </x:c>
      <x:c r="F34" s="48" t="n">
        <x:v>14</x:v>
      </x:c>
      <x:c r="G34" s="48" t="n">
        <x:v>16</x:v>
      </x:c>
      <x:c r="H34" s="50" t="n">
        <x:f>IF(C34="S",Assumptions!$B$19,IF(C34="M",Assumptions!$B$20,IF(C34="L",Assumptions!$B$21,Assumptions!$B$22)))</x:f>
        <x:v>1</x:v>
      </x:c>
      <x:c r="I34" s="50" t="n">
        <x:v>0</x:v>
      </x:c>
      <x:c r="J34" s="50" t="n">
        <x:f>IF(D34="PLA",Assumptions!$B$31,IF(D34="PETG",Assumptions!$B$32,IF(D34="ASA",Assumptions!$B$33,IF(D34="TPU",Assumptions!$B$34,IF(D34="PC Blend",Assumptions!$B$35,Assumptions!$B$36)))))</x:f>
        <x:v>22</x:v>
      </x:c>
      <x:c r="K34" s="54" t="n">
        <x:f>Assumptions!$B$9</x:f>
        <x:v>0.08</x:v>
      </x:c>
      <x:c r="L34" s="50" t="n">
        <x:f>E34/1000*J34*(1+K34)</x:f>
        <x:v>14.731200000000001</x:v>
      </x:c>
      <x:c r="M34" s="46" t="str">
        <x:v>Core</x:v>
      </x:c>
      <x:c r="N34" s="50" t="n">
        <x:f>IF(M34="Core",Assumptions!$B$13,IF(M34="Large",Assumptions!$B$14,IF(M34="Enclosed",Assumptions!$B$15,Assumptions!$B$16)))</x:f>
        <x:v>0.75</x:v>
      </x:c>
      <x:c r="O34" s="50" t="n">
        <x:f>F34*N34</x:f>
        <x:v>10.5</x:v>
      </x:c>
      <x:c r="P34" s="50" t="n">
        <x:f>G34/60*Assumptions!$B$8</x:f>
        <x:v>8.533333333333333</x:v>
      </x:c>
      <x:c r="Q34" s="50" t="n">
        <x:f>(H34+I34+L34+O34+P34)*Assumptions!$B$10</x:f>
        <x:v>1.7382266666666668</x:v>
      </x:c>
      <x:c r="R34" s="50" t="n">
        <x:f>H34+I34+L34+O34+P34+Q34</x:f>
        <x:v>36.50276</x:v>
      </x:c>
      <x:c r="S34" s="50" t="n">
        <x:f>IF(C34="S",Assumptions!$B$25,IF(C34="M",Assumptions!$B$26,IF(C34="L",Assumptions!$B$27,Assumptions!$B$28)))</x:f>
        <x:v>12.5</x:v>
      </x:c>
      <x:c r="T34" s="50" t="n">
        <x:f>ROUNDUP(MAX(S34,R34/(1-Assumptions!$B$6-Assumptions!$B$7))*2,0)/2</x:f>
        <x:v>91.5</x:v>
      </x:c>
      <x:c r="U34" s="54" t="n">
        <x:f>Assumptions!$B$5</x:f>
        <x:v>0.19</x:v>
      </x:c>
      <x:c r="V34" s="50" t="n">
        <x:f>T34*(1+U34)</x:f>
        <x:v>108.88499999999999</x:v>
      </x:c>
      <x:c r="W34" s="50" t="n">
        <x:f>T34*Assumptions!$B$6</x:f>
        <x:v>4.575</x:v>
      </x:c>
      <x:c r="X34" s="50" t="n">
        <x:f>T34-R34-W34</x:f>
        <x:v>50.422239999999995</x:v>
      </x:c>
      <x:c r="Y34" s="54" t="n">
        <x:f>IFERROR(X34/T34,0)</x:f>
        <x:v>0.5510627322404371</x:v>
      </x:c>
      <x:c r="Z34" s="50" t="n">
        <x:v>14.9</x:v>
      </x:c>
      <x:c r="AA34" s="46" t="str"/>
    </x:row>
    <x:row r="35" ht="28" customHeight="1">
      <x:c r="A35" s="46" t="str">
        <x:v>SKU-034</x:v>
      </x:c>
      <x:c r="B35" s="46" t="str">
        <x:v>Wedding or event table-number set</x:v>
      </x:c>
      <x:c r="C35" s="46" t="str">
        <x:v>M</x:v>
      </x:c>
      <x:c r="D35" s="46" t="str">
        <x:v>PLA</x:v>
      </x:c>
      <x:c r="E35" s="48" t="n">
        <x:v>980</x:v>
      </x:c>
      <x:c r="F35" s="48" t="n">
        <x:v>22</x:v>
      </x:c>
      <x:c r="G35" s="48" t="n">
        <x:v>30</x:v>
      </x:c>
      <x:c r="H35" s="50" t="n">
        <x:f>IF(C35="S",Assumptions!$B$19,IF(C35="M",Assumptions!$B$20,IF(C35="L",Assumptions!$B$21,Assumptions!$B$22)))</x:f>
        <x:v>1</x:v>
      </x:c>
      <x:c r="I35" s="50" t="n">
        <x:v>0</x:v>
      </x:c>
      <x:c r="J35" s="50" t="n">
        <x:f>IF(D35="PLA",Assumptions!$B$31,IF(D35="PETG",Assumptions!$B$32,IF(D35="ASA",Assumptions!$B$33,IF(D35="TPU",Assumptions!$B$34,IF(D35="PC Blend",Assumptions!$B$35,Assumptions!$B$36)))))</x:f>
        <x:v>22</x:v>
      </x:c>
      <x:c r="K35" s="54" t="n">
        <x:f>Assumptions!$B$9</x:f>
        <x:v>0.08</x:v>
      </x:c>
      <x:c r="L35" s="50" t="n">
        <x:f>E35/1000*J35*(1+K35)</x:f>
        <x:v>23.2848</x:v>
      </x:c>
      <x:c r="M35" s="46" t="str">
        <x:v>Core</x:v>
      </x:c>
      <x:c r="N35" s="50" t="n">
        <x:f>IF(M35="Core",Assumptions!$B$13,IF(M35="Large",Assumptions!$B$14,IF(M35="Enclosed",Assumptions!$B$15,Assumptions!$B$16)))</x:f>
        <x:v>0.75</x:v>
      </x:c>
      <x:c r="O35" s="50" t="n">
        <x:f>F35*N35</x:f>
        <x:v>16.5</x:v>
      </x:c>
      <x:c r="P35" s="50" t="n">
        <x:f>G35/60*Assumptions!$B$8</x:f>
        <x:v>16</x:v>
      </x:c>
      <x:c r="Q35" s="50" t="n">
        <x:f>(H35+I35+L35+O35+P35)*Assumptions!$B$10</x:f>
        <x:v>2.83924</x:v>
      </x:c>
      <x:c r="R35" s="50" t="n">
        <x:f>H35+I35+L35+O35+P35+Q35</x:f>
        <x:v>59.62404000000001</x:v>
      </x:c>
      <x:c r="S35" s="50" t="n">
        <x:f>IF(C35="S",Assumptions!$B$25,IF(C35="M",Assumptions!$B$26,IF(C35="L",Assumptions!$B$27,Assumptions!$B$28)))</x:f>
        <x:v>12.5</x:v>
      </x:c>
      <x:c r="T35" s="50" t="n">
        <x:f>ROUNDUP(MAX(S35,R35/(1-Assumptions!$B$6-Assumptions!$B$7))*2,0)/2</x:f>
        <x:v>149.5</x:v>
      </x:c>
      <x:c r="U35" s="54" t="n">
        <x:f>Assumptions!$B$5</x:f>
        <x:v>0.19</x:v>
      </x:c>
      <x:c r="V35" s="50" t="n">
        <x:f>T35*(1+U35)</x:f>
        <x:v>177.905</x:v>
      </x:c>
      <x:c r="W35" s="50" t="n">
        <x:f>T35*Assumptions!$B$6</x:f>
        <x:v>7.4750000000000005</x:v>
      </x:c>
      <x:c r="X35" s="50" t="n">
        <x:f>T35-R35-W35</x:f>
        <x:v>82.40096</x:v>
      </x:c>
      <x:c r="Y35" s="54" t="n">
        <x:f>IFERROR(X35/T35,0)</x:f>
        <x:v>0.5511769899665552</x:v>
      </x:c>
      <x:c r="Z35" s="50" t="n">
        <x:v>14.9</x:v>
      </x:c>
      <x:c r="AA35" s="46" t="str"/>
    </x:row>
    <x:row r="36" ht="28" customHeight="1">
      <x:c r="A36" s="46" t="str">
        <x:v>SKU-035</x:v>
      </x:c>
      <x:c r="B36" s="46" t="str">
        <x:v>Under-monitor snap-in drawer</x:v>
      </x:c>
      <x:c r="C36" s="46" t="str">
        <x:v>M</x:v>
      </x:c>
      <x:c r="D36" s="46" t="str">
        <x:v>PETG</x:v>
      </x:c>
      <x:c r="E36" s="48" t="n">
        <x:v>310</x:v>
      </x:c>
      <x:c r="F36" s="48" t="n">
        <x:v>7.2</x:v>
      </x:c>
      <x:c r="G36" s="48" t="n">
        <x:v>14</x:v>
      </x:c>
      <x:c r="H36" s="50" t="n">
        <x:f>IF(C36="S",Assumptions!$B$19,IF(C36="M",Assumptions!$B$20,IF(C36="L",Assumptions!$B$21,Assumptions!$B$22)))</x:f>
        <x:v>1</x:v>
      </x:c>
      <x:c r="I36" s="50" t="n">
        <x:v>0</x:v>
      </x:c>
      <x:c r="J36" s="50" t="n">
        <x:f>IF(D36="PLA",Assumptions!$B$31,IF(D36="PETG",Assumptions!$B$32,IF(D36="ASA",Assumptions!$B$33,IF(D36="TPU",Assumptions!$B$34,IF(D36="PC Blend",Assumptions!$B$35,Assumptions!$B$36)))))</x:f>
        <x:v>26</x:v>
      </x:c>
      <x:c r="K36" s="54" t="n">
        <x:f>Assumptions!$B$9</x:f>
        <x:v>0.08</x:v>
      </x:c>
      <x:c r="L36" s="50" t="n">
        <x:f>E36/1000*J36*(1+K36)</x:f>
        <x:v>8.7048</x:v>
      </x:c>
      <x:c r="M36" s="46" t="str">
        <x:v>Core</x:v>
      </x:c>
      <x:c r="N36" s="50" t="n">
        <x:f>IF(M36="Core",Assumptions!$B$13,IF(M36="Large",Assumptions!$B$14,IF(M36="Enclosed",Assumptions!$B$15,Assumptions!$B$16)))</x:f>
        <x:v>0.75</x:v>
      </x:c>
      <x:c r="O36" s="50" t="n">
        <x:f>F36*N36</x:f>
        <x:v>5.4</x:v>
      </x:c>
      <x:c r="P36" s="50" t="n">
        <x:f>G36/60*Assumptions!$B$8</x:f>
        <x:v>7.466666666666667</x:v>
      </x:c>
      <x:c r="Q36" s="50" t="n">
        <x:f>(H36+I36+L36+O36+P36)*Assumptions!$B$10</x:f>
        <x:v>1.1285733333333334</x:v>
      </x:c>
      <x:c r="R36" s="50" t="n">
        <x:f>H36+I36+L36+O36+P36+Q36</x:f>
        <x:v>23.700039999999998</x:v>
      </x:c>
      <x:c r="S36" s="50" t="n">
        <x:f>IF(C36="S",Assumptions!$B$25,IF(C36="M",Assumptions!$B$26,IF(C36="L",Assumptions!$B$27,Assumptions!$B$28)))</x:f>
        <x:v>12.5</x:v>
      </x:c>
      <x:c r="T36" s="50" t="n">
        <x:f>ROUNDUP(MAX(S36,R36/(1-Assumptions!$B$6-Assumptions!$B$7))*2,0)/2</x:f>
        <x:v>59.5</x:v>
      </x:c>
      <x:c r="U36" s="54" t="n">
        <x:f>Assumptions!$B$5</x:f>
        <x:v>0.19</x:v>
      </x:c>
      <x:c r="V36" s="50" t="n">
        <x:f>T36*(1+U36)</x:f>
        <x:v>70.80499999999999</x:v>
      </x:c>
      <x:c r="W36" s="50" t="n">
        <x:f>T36*Assumptions!$B$6</x:f>
        <x:v>2.975</x:v>
      </x:c>
      <x:c r="X36" s="50" t="n">
        <x:f>T36-R36-W36</x:f>
        <x:v>32.82496</x:v>
      </x:c>
      <x:c r="Y36" s="54" t="n">
        <x:f>IFERROR(X36/T36,0)</x:f>
        <x:v>0.55168</x:v>
      </x:c>
      <x:c r="Z36" s="50" t="n">
        <x:v>12.9</x:v>
      </x:c>
      <x:c r="AA36" s="46" t="str"/>
    </x:row>
    <x:row r="37" ht="28" customHeight="1">
      <x:c r="A37" s="46" t="str">
        <x:v>SKU-036</x:v>
      </x:c>
      <x:c r="B37" s="46" t="str">
        <x:v>Parametric under-desk cable raceway</x:v>
      </x:c>
      <x:c r="C37" s="46" t="str">
        <x:v>M</x:v>
      </x:c>
      <x:c r="D37" s="46" t="str">
        <x:v>PETG</x:v>
      </x:c>
      <x:c r="E37" s="48" t="n">
        <x:v>280</x:v>
      </x:c>
      <x:c r="F37" s="48" t="n">
        <x:v>6.5</x:v>
      </x:c>
      <x:c r="G37" s="48" t="n">
        <x:v>12</x:v>
      </x:c>
      <x:c r="H37" s="50" t="n">
        <x:f>IF(C37="S",Assumptions!$B$19,IF(C37="M",Assumptions!$B$20,IF(C37="L",Assumptions!$B$21,Assumptions!$B$22)))</x:f>
        <x:v>1</x:v>
      </x:c>
      <x:c r="I37" s="50" t="n">
        <x:v>0</x:v>
      </x:c>
      <x:c r="J37" s="50" t="n">
        <x:f>IF(D37="PLA",Assumptions!$B$31,IF(D37="PETG",Assumptions!$B$32,IF(D37="ASA",Assumptions!$B$33,IF(D37="TPU",Assumptions!$B$34,IF(D37="PC Blend",Assumptions!$B$35,Assumptions!$B$36)))))</x:f>
        <x:v>26</x:v>
      </x:c>
      <x:c r="K37" s="54" t="n">
        <x:f>Assumptions!$B$9</x:f>
        <x:v>0.08</x:v>
      </x:c>
      <x:c r="L37" s="50" t="n">
        <x:f>E37/1000*J37*(1+K37)</x:f>
        <x:v>7.862400000000002</x:v>
      </x:c>
      <x:c r="M37" s="46" t="str">
        <x:v>Core</x:v>
      </x:c>
      <x:c r="N37" s="50" t="n">
        <x:f>IF(M37="Core",Assumptions!$B$13,IF(M37="Large",Assumptions!$B$14,IF(M37="Enclosed",Assumptions!$B$15,Assumptions!$B$16)))</x:f>
        <x:v>0.75</x:v>
      </x:c>
      <x:c r="O37" s="50" t="n">
        <x:f>F37*N37</x:f>
        <x:v>4.875</x:v>
      </x:c>
      <x:c r="P37" s="50" t="n">
        <x:f>G37/60*Assumptions!$B$8</x:f>
        <x:v>6.4</x:v>
      </x:c>
      <x:c r="Q37" s="50" t="n">
        <x:f>(H37+I37+L37+O37+P37)*Assumptions!$B$10</x:f>
        <x:v>1.00687</x:v>
      </x:c>
      <x:c r="R37" s="50" t="n">
        <x:f>H37+I37+L37+O37+P37+Q37</x:f>
        <x:v>21.14427</x:v>
      </x:c>
      <x:c r="S37" s="50" t="n">
        <x:f>IF(C37="S",Assumptions!$B$25,IF(C37="M",Assumptions!$B$26,IF(C37="L",Assumptions!$B$27,Assumptions!$B$28)))</x:f>
        <x:v>12.5</x:v>
      </x:c>
      <x:c r="T37" s="50" t="n">
        <x:f>ROUNDUP(MAX(S37,R37/(1-Assumptions!$B$6-Assumptions!$B$7))*2,0)/2</x:f>
        <x:v>53</x:v>
      </x:c>
      <x:c r="U37" s="54" t="n">
        <x:f>Assumptions!$B$5</x:f>
        <x:v>0.19</x:v>
      </x:c>
      <x:c r="V37" s="50" t="n">
        <x:f>T37*(1+U37)</x:f>
        <x:v>63.07</x:v>
      </x:c>
      <x:c r="W37" s="50" t="n">
        <x:f>T37*Assumptions!$B$6</x:f>
        <x:v>2.6500000000000004</x:v>
      </x:c>
      <x:c r="X37" s="50" t="n">
        <x:f>T37-R37-W37</x:f>
        <x:v>29.205730000000003</x:v>
      </x:c>
      <x:c r="Y37" s="54" t="n">
        <x:f>IFERROR(X37/T37,0)</x:f>
        <x:v>0.5510515094339623</x:v>
      </x:c>
      <x:c r="Z37" s="50" t="n">
        <x:v>12.9</x:v>
      </x:c>
      <x:c r="AA37" s="46" t="str"/>
    </x:row>
    <x:row r="38" ht="28" customHeight="1">
      <x:c r="A38" s="46" t="str">
        <x:v>SKU-037</x:v>
      </x:c>
      <x:c r="B38" s="46" t="str">
        <x:v>Soap dish with removable drain tray</x:v>
      </x:c>
      <x:c r="C38" s="46" t="str">
        <x:v>M</x:v>
      </x:c>
      <x:c r="D38" s="46" t="str">
        <x:v>PETG</x:v>
      </x:c>
      <x:c r="E38" s="48" t="n">
        <x:v>110</x:v>
      </x:c>
      <x:c r="F38" s="48" t="n">
        <x:v>2.4</x:v>
      </x:c>
      <x:c r="G38" s="48" t="n">
        <x:v>6</x:v>
      </x:c>
      <x:c r="H38" s="50" t="n">
        <x:f>IF(C38="S",Assumptions!$B$19,IF(C38="M",Assumptions!$B$20,IF(C38="L",Assumptions!$B$21,Assumptions!$B$22)))</x:f>
        <x:v>1</x:v>
      </x:c>
      <x:c r="I38" s="50" t="n">
        <x:v>0</x:v>
      </x:c>
      <x:c r="J38" s="50" t="n">
        <x:f>IF(D38="PLA",Assumptions!$B$31,IF(D38="PETG",Assumptions!$B$32,IF(D38="ASA",Assumptions!$B$33,IF(D38="TPU",Assumptions!$B$34,IF(D38="PC Blend",Assumptions!$B$35,Assumptions!$B$36)))))</x:f>
        <x:v>26</x:v>
      </x:c>
      <x:c r="K38" s="54" t="n">
        <x:f>Assumptions!$B$9</x:f>
        <x:v>0.08</x:v>
      </x:c>
      <x:c r="L38" s="50" t="n">
        <x:f>E38/1000*J38*(1+K38)</x:f>
        <x:v>3.0888</x:v>
      </x:c>
      <x:c r="M38" s="46" t="str">
        <x:v>Core</x:v>
      </x:c>
      <x:c r="N38" s="50" t="n">
        <x:f>IF(M38="Core",Assumptions!$B$13,IF(M38="Large",Assumptions!$B$14,IF(M38="Enclosed",Assumptions!$B$15,Assumptions!$B$16)))</x:f>
        <x:v>0.75</x:v>
      </x:c>
      <x:c r="O38" s="50" t="n">
        <x:f>F38*N38</x:f>
        <x:v>1.7999999999999998</x:v>
      </x:c>
      <x:c r="P38" s="50" t="n">
        <x:f>G38/60*Assumptions!$B$8</x:f>
        <x:v>3.2</x:v>
      </x:c>
      <x:c r="Q38" s="50" t="n">
        <x:f>(H38+I38+L38+O38+P38)*Assumptions!$B$10</x:f>
        <x:v>0.45443999999999996</x:v>
      </x:c>
      <x:c r="R38" s="50" t="n">
        <x:f>H38+I38+L38+O38+P38+Q38</x:f>
        <x:v>9.543239999999999</x:v>
      </x:c>
      <x:c r="S38" s="50" t="n">
        <x:f>IF(C38="S",Assumptions!$B$25,IF(C38="M",Assumptions!$B$26,IF(C38="L",Assumptions!$B$27,Assumptions!$B$28)))</x:f>
        <x:v>12.5</x:v>
      </x:c>
      <x:c r="T38" s="50" t="n">
        <x:f>ROUNDUP(MAX(S38,R38/(1-Assumptions!$B$6-Assumptions!$B$7))*2,0)/2</x:f>
        <x:v>24</x:v>
      </x:c>
      <x:c r="U38" s="54" t="n">
        <x:f>Assumptions!$B$5</x:f>
        <x:v>0.19</x:v>
      </x:c>
      <x:c r="V38" s="50" t="n">
        <x:f>T38*(1+U38)</x:f>
        <x:v>28.56</x:v>
      </x:c>
      <x:c r="W38" s="50" t="n">
        <x:f>T38*Assumptions!$B$6</x:f>
        <x:v>1.2000000000000002</x:v>
      </x:c>
      <x:c r="X38" s="50" t="n">
        <x:f>T38-R38-W38</x:f>
        <x:v>13.25676</x:v>
      </x:c>
      <x:c r="Y38" s="54" t="n">
        <x:f>IFERROR(X38/T38,0)</x:f>
        <x:v>0.552365</x:v>
      </x:c>
      <x:c r="Z38" s="50" t="n">
        <x:v>5.9</x:v>
      </x:c>
      <x:c r="AA38" s="46" t="str"/>
    </x:row>
    <x:row r="39" ht="28" customHeight="1">
      <x:c r="A39" s="46" t="str">
        <x:v>SKU-038</x:v>
      </x:c>
      <x:c r="B39" s="46" t="str">
        <x:v>Generic tabletop card-holder set</x:v>
      </x:c>
      <x:c r="C39" s="46" t="str">
        <x:v>M</x:v>
      </x:c>
      <x:c r="D39" s="46" t="str">
        <x:v>PLA</x:v>
      </x:c>
      <x:c r="E39" s="48" t="n">
        <x:v>230</x:v>
      </x:c>
      <x:c r="F39" s="48" t="n">
        <x:v>5.2</x:v>
      </x:c>
      <x:c r="G39" s="48" t="n">
        <x:v>10</x:v>
      </x:c>
      <x:c r="H39" s="50" t="n">
        <x:f>IF(C39="S",Assumptions!$B$19,IF(C39="M",Assumptions!$B$20,IF(C39="L",Assumptions!$B$21,Assumptions!$B$22)))</x:f>
        <x:v>1</x:v>
      </x:c>
      <x:c r="I39" s="50" t="n">
        <x:v>0</x:v>
      </x:c>
      <x:c r="J39" s="50" t="n">
        <x:f>IF(D39="PLA",Assumptions!$B$31,IF(D39="PETG",Assumptions!$B$32,IF(D39="ASA",Assumptions!$B$33,IF(D39="TPU",Assumptions!$B$34,IF(D39="PC Blend",Assumptions!$B$35,Assumptions!$B$36)))))</x:f>
        <x:v>22</x:v>
      </x:c>
      <x:c r="K39" s="54" t="n">
        <x:f>Assumptions!$B$9</x:f>
        <x:v>0.08</x:v>
      </x:c>
      <x:c r="L39" s="50" t="n">
        <x:f>E39/1000*J39*(1+K39)</x:f>
        <x:v>5.464800000000001</x:v>
      </x:c>
      <x:c r="M39" s="46" t="str">
        <x:v>Core</x:v>
      </x:c>
      <x:c r="N39" s="50" t="n">
        <x:f>IF(M39="Core",Assumptions!$B$13,IF(M39="Large",Assumptions!$B$14,IF(M39="Enclosed",Assumptions!$B$15,Assumptions!$B$16)))</x:f>
        <x:v>0.75</x:v>
      </x:c>
      <x:c r="O39" s="50" t="n">
        <x:f>F39*N39</x:f>
        <x:v>3.9000000000000004</x:v>
      </x:c>
      <x:c r="P39" s="50" t="n">
        <x:f>G39/60*Assumptions!$B$8</x:f>
        <x:v>5.333333333333333</x:v>
      </x:c>
      <x:c r="Q39" s="50" t="n">
        <x:f>(H39+I39+L39+O39+P39)*Assumptions!$B$10</x:f>
        <x:v>0.7849066666666668</x:v>
      </x:c>
      <x:c r="R39" s="50" t="n">
        <x:f>H39+I39+L39+O39+P39+Q39</x:f>
        <x:v>16.483040000000003</x:v>
      </x:c>
      <x:c r="S39" s="50" t="n">
        <x:f>IF(C39="S",Assumptions!$B$25,IF(C39="M",Assumptions!$B$26,IF(C39="L",Assumptions!$B$27,Assumptions!$B$28)))</x:f>
        <x:v>12.5</x:v>
      </x:c>
      <x:c r="T39" s="50" t="n">
        <x:f>ROUNDUP(MAX(S39,R39/(1-Assumptions!$B$6-Assumptions!$B$7))*2,0)/2</x:f>
        <x:v>41.5</x:v>
      </x:c>
      <x:c r="U39" s="54" t="n">
        <x:f>Assumptions!$B$5</x:f>
        <x:v>0.19</x:v>
      </x:c>
      <x:c r="V39" s="50" t="n">
        <x:f>T39*(1+U39)</x:f>
        <x:v>49.385</x:v>
      </x:c>
      <x:c r="W39" s="50" t="n">
        <x:f>T39*Assumptions!$B$6</x:f>
        <x:v>2.075</x:v>
      </x:c>
      <x:c r="X39" s="50" t="n">
        <x:f>T39-R39-W39</x:f>
        <x:v>22.941959999999998</x:v>
      </x:c>
      <x:c r="Y39" s="54" t="n">
        <x:f>IFERROR(X39/T39,0)</x:f>
        <x:v>0.552818313253012</x:v>
      </x:c>
      <x:c r="Z39" s="50" t="n">
        <x:v>8.9</x:v>
      </x:c>
      <x:c r="AA39" s="46" t="str"/>
    </x:row>
    <x:row r="40" ht="28" customHeight="1">
      <x:c r="A40" s="46" t="str">
        <x:v>SKU-039</x:v>
      </x:c>
      <x:c r="B40" s="46" t="str">
        <x:v>Curtain-rail end stop or cap</x:v>
      </x:c>
      <x:c r="C40" s="46" t="str">
        <x:v>S</x:v>
      </x:c>
      <x:c r="D40" s="46" t="str">
        <x:v>PETG</x:v>
      </x:c>
      <x:c r="E40" s="48" t="n">
        <x:v>35</x:v>
      </x:c>
      <x:c r="F40" s="48" t="n">
        <x:v>1.1</x:v>
      </x:c>
      <x:c r="G40" s="48" t="n">
        <x:v>10</x:v>
      </x:c>
      <x:c r="H40" s="50" t="n">
        <x:f>IF(C40="S",Assumptions!$B$19,IF(C40="M",Assumptions!$B$20,IF(C40="L",Assumptions!$B$21,Assumptions!$B$22)))</x:f>
        <x:v>0.6</x:v>
      </x:c>
      <x:c r="I40" s="50" t="n">
        <x:v>0</x:v>
      </x:c>
      <x:c r="J40" s="50" t="n">
        <x:f>IF(D40="PLA",Assumptions!$B$31,IF(D40="PETG",Assumptions!$B$32,IF(D40="ASA",Assumptions!$B$33,IF(D40="TPU",Assumptions!$B$34,IF(D40="PC Blend",Assumptions!$B$35,Assumptions!$B$36)))))</x:f>
        <x:v>26</x:v>
      </x:c>
      <x:c r="K40" s="54" t="n">
        <x:f>Assumptions!$B$9</x:f>
        <x:v>0.08</x:v>
      </x:c>
      <x:c r="L40" s="50" t="n">
        <x:f>E40/1000*J40*(1+K40)</x:f>
        <x:v>0.9828000000000002</x:v>
      </x:c>
      <x:c r="M40" s="46" t="str">
        <x:v>Core</x:v>
      </x:c>
      <x:c r="N40" s="50" t="n">
        <x:f>IF(M40="Core",Assumptions!$B$13,IF(M40="Large",Assumptions!$B$14,IF(M40="Enclosed",Assumptions!$B$15,Assumptions!$B$16)))</x:f>
        <x:v>0.75</x:v>
      </x:c>
      <x:c r="O40" s="50" t="n">
        <x:f>F40*N40</x:f>
        <x:v>0.8250000000000001</x:v>
      </x:c>
      <x:c r="P40" s="50" t="n">
        <x:f>G40/60*Assumptions!$B$8</x:f>
        <x:v>5.333333333333333</x:v>
      </x:c>
      <x:c r="Q40" s="50" t="n">
        <x:f>(H40+I40+L40+O40+P40)*Assumptions!$B$10</x:f>
        <x:v>0.3870566666666667</x:v>
      </x:c>
      <x:c r="R40" s="50" t="n">
        <x:f>H40+I40+L40+O40+P40+Q40</x:f>
        <x:v>8.12819</x:v>
      </x:c>
      <x:c r="S40" s="50" t="n">
        <x:f>IF(C40="S",Assumptions!$B$25,IF(C40="M",Assumptions!$B$26,IF(C40="L",Assumptions!$B$27,Assumptions!$B$28)))</x:f>
        <x:v>7.5</x:v>
      </x:c>
      <x:c r="T40" s="50" t="n">
        <x:f>ROUNDUP(MAX(S40,R40/(1-Assumptions!$B$6-Assumptions!$B$7))*2,0)/2</x:f>
        <x:v>20.5</x:v>
      </x:c>
      <x:c r="U40" s="54" t="n">
        <x:f>Assumptions!$B$5</x:f>
        <x:v>0.19</x:v>
      </x:c>
      <x:c r="V40" s="50" t="n">
        <x:f>T40*(1+U40)</x:f>
        <x:v>24.395</x:v>
      </x:c>
      <x:c r="W40" s="50" t="n">
        <x:f>T40*Assumptions!$B$6</x:f>
        <x:v>1.0250000000000001</x:v>
      </x:c>
      <x:c r="X40" s="50" t="n">
        <x:f>T40-R40-W40</x:f>
        <x:v>11.34681</x:v>
      </x:c>
      <x:c r="Y40" s="54" t="n">
        <x:f>IFERROR(X40/T40,0)</x:f>
        <x:v>0.5535029268292683</x:v>
      </x:c>
      <x:c r="Z40" s="50" t="n">
        <x:v>7.9</x:v>
      </x:c>
      <x:c r="AA40" s="46" t="str"/>
    </x:row>
    <x:row r="41" ht="28" customHeight="1">
      <x:c r="A41" s="46" t="str">
        <x:v>SKU-040</x:v>
      </x:c>
      <x:c r="B41" s="46" t="str">
        <x:v>Makeup-brush holder with removable drip cup</x:v>
      </x:c>
      <x:c r="C41" s="46" t="str">
        <x:v>M</x:v>
      </x:c>
      <x:c r="D41" s="46" t="str">
        <x:v>PETG</x:v>
      </x:c>
      <x:c r="E41" s="48" t="n">
        <x:v>225</x:v>
      </x:c>
      <x:c r="F41" s="48" t="n">
        <x:v>5.1</x:v>
      </x:c>
      <x:c r="G41" s="48" t="n">
        <x:v>8</x:v>
      </x:c>
      <x:c r="H41" s="50" t="n">
        <x:f>IF(C41="S",Assumptions!$B$19,IF(C41="M",Assumptions!$B$20,IF(C41="L",Assumptions!$B$21,Assumptions!$B$22)))</x:f>
        <x:v>1</x:v>
      </x:c>
      <x:c r="I41" s="50" t="n">
        <x:v>0</x:v>
      </x:c>
      <x:c r="J41" s="50" t="n">
        <x:f>IF(D41="PLA",Assumptions!$B$31,IF(D41="PETG",Assumptions!$B$32,IF(D41="ASA",Assumptions!$B$33,IF(D41="TPU",Assumptions!$B$34,IF(D41="PC Blend",Assumptions!$B$35,Assumptions!$B$36)))))</x:f>
        <x:v>26</x:v>
      </x:c>
      <x:c r="K41" s="54" t="n">
        <x:f>Assumptions!$B$9</x:f>
        <x:v>0.08</x:v>
      </x:c>
      <x:c r="L41" s="50" t="n">
        <x:f>E41/1000*J41*(1+K41)</x:f>
        <x:v>6.318000000000001</x:v>
      </x:c>
      <x:c r="M41" s="46" t="str">
        <x:v>Core</x:v>
      </x:c>
      <x:c r="N41" s="50" t="n">
        <x:f>IF(M41="Core",Assumptions!$B$13,IF(M41="Large",Assumptions!$B$14,IF(M41="Enclosed",Assumptions!$B$15,Assumptions!$B$16)))</x:f>
        <x:v>0.75</x:v>
      </x:c>
      <x:c r="O41" s="50" t="n">
        <x:f>F41*N41</x:f>
        <x:v>3.8249999999999997</x:v>
      </x:c>
      <x:c r="P41" s="50" t="n">
        <x:f>G41/60*Assumptions!$B$8</x:f>
        <x:v>4.266666666666667</x:v>
      </x:c>
      <x:c r="Q41" s="50" t="n">
        <x:f>(H41+I41+L41+O41+P41)*Assumptions!$B$10</x:f>
        <x:v>0.7704833333333334</x:v>
      </x:c>
      <x:c r="R41" s="50" t="n">
        <x:f>H41+I41+L41+O41+P41+Q41</x:f>
        <x:v>16.18015</x:v>
      </x:c>
      <x:c r="S41" s="50" t="n">
        <x:f>IF(C41="S",Assumptions!$B$25,IF(C41="M",Assumptions!$B$26,IF(C41="L",Assumptions!$B$27,Assumptions!$B$28)))</x:f>
        <x:v>12.5</x:v>
      </x:c>
      <x:c r="T41" s="50" t="n">
        <x:f>ROUNDUP(MAX(S41,R41/(1-Assumptions!$B$6-Assumptions!$B$7))*2,0)/2</x:f>
        <x:v>40.5</x:v>
      </x:c>
      <x:c r="U41" s="54" t="n">
        <x:f>Assumptions!$B$5</x:f>
        <x:v>0.19</x:v>
      </x:c>
      <x:c r="V41" s="50" t="n">
        <x:f>T41*(1+U41)</x:f>
        <x:v>48.195</x:v>
      </x:c>
      <x:c r="W41" s="50" t="n">
        <x:f>T41*Assumptions!$B$6</x:f>
        <x:v>2.025</x:v>
      </x:c>
      <x:c r="X41" s="50" t="n">
        <x:f>T41-R41-W41</x:f>
        <x:v>22.29485</x:v>
      </x:c>
      <x:c r="Y41" s="54" t="n">
        <x:f>IFERROR(X41/T41,0)</x:f>
        <x:v>0.5504901234567902</x:v>
      </x:c>
      <x:c r="Z41" s="50" t="n">
        <x:v>9.9</x:v>
      </x:c>
      <x:c r="AA41" s="46" t="str"/>
    </x:row>
    <x:row r="42" ht="28" customHeight="1">
      <x:c r="A42" s="46" t="str">
        <x:v>SKU-041</x:v>
      </x:c>
      <x:c r="B42" s="46" t="str">
        <x:v>Exact-fit medicine-cabinet organizer</x:v>
      </x:c>
      <x:c r="C42" s="46" t="str">
        <x:v>M</x:v>
      </x:c>
      <x:c r="D42" s="46" t="str">
        <x:v>PETG</x:v>
      </x:c>
      <x:c r="E42" s="48" t="n">
        <x:v>420</x:v>
      </x:c>
      <x:c r="F42" s="48" t="n">
        <x:v>9.5</x:v>
      </x:c>
      <x:c r="G42" s="48" t="n">
        <x:v>14</x:v>
      </x:c>
      <x:c r="H42" s="50" t="n">
        <x:f>IF(C42="S",Assumptions!$B$19,IF(C42="M",Assumptions!$B$20,IF(C42="L",Assumptions!$B$21,Assumptions!$B$22)))</x:f>
        <x:v>1</x:v>
      </x:c>
      <x:c r="I42" s="50" t="n">
        <x:v>0</x:v>
      </x:c>
      <x:c r="J42" s="50" t="n">
        <x:f>IF(D42="PLA",Assumptions!$B$31,IF(D42="PETG",Assumptions!$B$32,IF(D42="ASA",Assumptions!$B$33,IF(D42="TPU",Assumptions!$B$34,IF(D42="PC Blend",Assumptions!$B$35,Assumptions!$B$36)))))</x:f>
        <x:v>26</x:v>
      </x:c>
      <x:c r="K42" s="54" t="n">
        <x:f>Assumptions!$B$9</x:f>
        <x:v>0.08</x:v>
      </x:c>
      <x:c r="L42" s="50" t="n">
        <x:f>E42/1000*J42*(1+K42)</x:f>
        <x:v>11.793600000000001</x:v>
      </x:c>
      <x:c r="M42" s="46" t="str">
        <x:v>Core</x:v>
      </x:c>
      <x:c r="N42" s="50" t="n">
        <x:f>IF(M42="Core",Assumptions!$B$13,IF(M42="Large",Assumptions!$B$14,IF(M42="Enclosed",Assumptions!$B$15,Assumptions!$B$16)))</x:f>
        <x:v>0.75</x:v>
      </x:c>
      <x:c r="O42" s="50" t="n">
        <x:f>F42*N42</x:f>
        <x:v>7.125</x:v>
      </x:c>
      <x:c r="P42" s="50" t="n">
        <x:f>G42/60*Assumptions!$B$8</x:f>
        <x:v>7.466666666666667</x:v>
      </x:c>
      <x:c r="Q42" s="50" t="n">
        <x:f>(H42+I42+L42+O42+P42)*Assumptions!$B$10</x:f>
        <x:v>1.3692633333333335</x:v>
      </x:c>
      <x:c r="R42" s="50" t="n">
        <x:f>H42+I42+L42+O42+P42+Q42</x:f>
        <x:v>28.75453</x:v>
      </x:c>
      <x:c r="S42" s="50" t="n">
        <x:f>IF(C42="S",Assumptions!$B$25,IF(C42="M",Assumptions!$B$26,IF(C42="L",Assumptions!$B$27,Assumptions!$B$28)))</x:f>
        <x:v>12.5</x:v>
      </x:c>
      <x:c r="T42" s="50" t="n">
        <x:f>ROUNDUP(MAX(S42,R42/(1-Assumptions!$B$6-Assumptions!$B$7))*2,0)/2</x:f>
        <x:v>72</x:v>
      </x:c>
      <x:c r="U42" s="54" t="n">
        <x:f>Assumptions!$B$5</x:f>
        <x:v>0.19</x:v>
      </x:c>
      <x:c r="V42" s="50" t="n">
        <x:f>T42*(1+U42)</x:f>
        <x:v>85.67999999999999</x:v>
      </x:c>
      <x:c r="W42" s="50" t="n">
        <x:f>T42*Assumptions!$B$6</x:f>
        <x:v>3.6</x:v>
      </x:c>
      <x:c r="X42" s="50" t="n">
        <x:f>T42-R42-W42</x:f>
        <x:v>39.645469999999996</x:v>
      </x:c>
      <x:c r="Y42" s="54" t="n">
        <x:f>IFERROR(X42/T42,0)</x:f>
        <x:v>0.5506315277777777</x:v>
      </x:c>
      <x:c r="Z42" s="50" t="n">
        <x:v>13.9</x:v>
      </x:c>
      <x:c r="AA42" s="46" t="str"/>
    </x:row>
    <x:row r="43" ht="28" customHeight="1">
      <x:c r="A43" s="46" t="str">
        <x:v>SKU-042</x:v>
      </x:c>
      <x:c r="B43" s="46" t="str">
        <x:v>Sunglasses display rail</x:v>
      </x:c>
      <x:c r="C43" s="46" t="str">
        <x:v>M</x:v>
      </x:c>
      <x:c r="D43" s="46" t="str">
        <x:v>PETG</x:v>
      </x:c>
      <x:c r="E43" s="48" t="n">
        <x:v>190</x:v>
      </x:c>
      <x:c r="F43" s="48" t="n">
        <x:v>4.5</x:v>
      </x:c>
      <x:c r="G43" s="48" t="n">
        <x:v>14</x:v>
      </x:c>
      <x:c r="H43" s="50" t="n">
        <x:f>IF(C43="S",Assumptions!$B$19,IF(C43="M",Assumptions!$B$20,IF(C43="L",Assumptions!$B$21,Assumptions!$B$22)))</x:f>
        <x:v>1</x:v>
      </x:c>
      <x:c r="I43" s="50" t="n">
        <x:v>0</x:v>
      </x:c>
      <x:c r="J43" s="50" t="n">
        <x:f>IF(D43="PLA",Assumptions!$B$31,IF(D43="PETG",Assumptions!$B$32,IF(D43="ASA",Assumptions!$B$33,IF(D43="TPU",Assumptions!$B$34,IF(D43="PC Blend",Assumptions!$B$35,Assumptions!$B$36)))))</x:f>
        <x:v>26</x:v>
      </x:c>
      <x:c r="K43" s="54" t="n">
        <x:f>Assumptions!$B$9</x:f>
        <x:v>0.08</x:v>
      </x:c>
      <x:c r="L43" s="50" t="n">
        <x:f>E43/1000*J43*(1+K43)</x:f>
        <x:v>5.3352</x:v>
      </x:c>
      <x:c r="M43" s="46" t="str">
        <x:v>Flexible</x:v>
      </x:c>
      <x:c r="N43" s="50" t="n">
        <x:f>IF(M43="Core",Assumptions!$B$13,IF(M43="Large",Assumptions!$B$14,IF(M43="Enclosed",Assumptions!$B$15,Assumptions!$B$16)))</x:f>
        <x:v>0.85</x:v>
      </x:c>
      <x:c r="O43" s="50" t="n">
        <x:f>F43*N43</x:f>
        <x:v>3.8249999999999997</x:v>
      </x:c>
      <x:c r="P43" s="50" t="n">
        <x:f>G43/60*Assumptions!$B$8</x:f>
        <x:v>7.466666666666667</x:v>
      </x:c>
      <x:c r="Q43" s="50" t="n">
        <x:f>(H43+I43+L43+O43+P43)*Assumptions!$B$10</x:f>
        <x:v>0.8813433333333333</x:v>
      </x:c>
      <x:c r="R43" s="50" t="n">
        <x:f>H43+I43+L43+O43+P43+Q43</x:f>
        <x:v>18.50821</x:v>
      </x:c>
      <x:c r="S43" s="50" t="n">
        <x:f>IF(C43="S",Assumptions!$B$25,IF(C43="M",Assumptions!$B$26,IF(C43="L",Assumptions!$B$27,Assumptions!$B$28)))</x:f>
        <x:v>12.5</x:v>
      </x:c>
      <x:c r="T43" s="50" t="n">
        <x:f>ROUNDUP(MAX(S43,R43/(1-Assumptions!$B$6-Assumptions!$B$7))*2,0)/2</x:f>
        <x:v>46.5</x:v>
      </x:c>
      <x:c r="U43" s="54" t="n">
        <x:f>Assumptions!$B$5</x:f>
        <x:v>0.19</x:v>
      </x:c>
      <x:c r="V43" s="50" t="n">
        <x:f>T43*(1+U43)</x:f>
        <x:v>55.335</x:v>
      </x:c>
      <x:c r="W43" s="50" t="n">
        <x:f>T43*Assumptions!$B$6</x:f>
        <x:v>2.325</x:v>
      </x:c>
      <x:c r="X43" s="50" t="n">
        <x:f>T43-R43-W43</x:f>
        <x:v>25.666790000000002</x:v>
      </x:c>
      <x:c r="Y43" s="54" t="n">
        <x:f>IFERROR(X43/T43,0)</x:f>
        <x:v>0.5519739784946237</x:v>
      </x:c>
      <x:c r="Z43" s="50" t="n">
        <x:v>10.9</x:v>
      </x:c>
      <x:c r="AA43" s="46" t="str"/>
    </x:row>
    <x:row r="44" ht="28" customHeight="1">
      <x:c r="A44" s="46" t="str">
        <x:v>SKU-043</x:v>
      </x:c>
      <x:c r="B44" s="46" t="str">
        <x:v>Personalized journal-charm set</x:v>
      </x:c>
      <x:c r="C44" s="46" t="str">
        <x:v>S</x:v>
      </x:c>
      <x:c r="D44" s="46" t="str">
        <x:v>PETG</x:v>
      </x:c>
      <x:c r="E44" s="48" t="n">
        <x:v>45</x:v>
      </x:c>
      <x:c r="F44" s="48" t="n">
        <x:v>1.5</x:v>
      </x:c>
      <x:c r="G44" s="48" t="n">
        <x:v>10</x:v>
      </x:c>
      <x:c r="H44" s="50" t="n">
        <x:f>IF(C44="S",Assumptions!$B$19,IF(C44="M",Assumptions!$B$20,IF(C44="L",Assumptions!$B$21,Assumptions!$B$22)))</x:f>
        <x:v>0.6</x:v>
      </x:c>
      <x:c r="I44" s="50" t="n">
        <x:v>0</x:v>
      </x:c>
      <x:c r="J44" s="50" t="n">
        <x:f>IF(D44="PLA",Assumptions!$B$31,IF(D44="PETG",Assumptions!$B$32,IF(D44="ASA",Assumptions!$B$33,IF(D44="TPU",Assumptions!$B$34,IF(D44="PC Blend",Assumptions!$B$35,Assumptions!$B$36)))))</x:f>
        <x:v>26</x:v>
      </x:c>
      <x:c r="K44" s="54" t="n">
        <x:f>Assumptions!$B$9</x:f>
        <x:v>0.08</x:v>
      </x:c>
      <x:c r="L44" s="50" t="n">
        <x:f>E44/1000*J44*(1+K44)</x:f>
        <x:v>1.2636</x:v>
      </x:c>
      <x:c r="M44" s="46" t="str">
        <x:v>Core</x:v>
      </x:c>
      <x:c r="N44" s="50" t="n">
        <x:f>IF(M44="Core",Assumptions!$B$13,IF(M44="Large",Assumptions!$B$14,IF(M44="Enclosed",Assumptions!$B$15,Assumptions!$B$16)))</x:f>
        <x:v>0.75</x:v>
      </x:c>
      <x:c r="O44" s="50" t="n">
        <x:f>F44*N44</x:f>
        <x:v>1.125</x:v>
      </x:c>
      <x:c r="P44" s="50" t="n">
        <x:f>G44/60*Assumptions!$B$8</x:f>
        <x:v>5.333333333333333</x:v>
      </x:c>
      <x:c r="Q44" s="50" t="n">
        <x:f>(H44+I44+L44+O44+P44)*Assumptions!$B$10</x:f>
        <x:v>0.4160966666666667</x:v>
      </x:c>
      <x:c r="R44" s="50" t="n">
        <x:f>H44+I44+L44+O44+P44+Q44</x:f>
        <x:v>8.73803</x:v>
      </x:c>
      <x:c r="S44" s="50" t="n">
        <x:f>IF(C44="S",Assumptions!$B$25,IF(C44="M",Assumptions!$B$26,IF(C44="L",Assumptions!$B$27,Assumptions!$B$28)))</x:f>
        <x:v>7.5</x:v>
      </x:c>
      <x:c r="T44" s="50" t="n">
        <x:f>ROUNDUP(MAX(S44,R44/(1-Assumptions!$B$6-Assumptions!$B$7))*2,0)/2</x:f>
        <x:v>22</x:v>
      </x:c>
      <x:c r="U44" s="54" t="n">
        <x:f>Assumptions!$B$5</x:f>
        <x:v>0.19</x:v>
      </x:c>
      <x:c r="V44" s="50" t="n">
        <x:f>T44*(1+U44)</x:f>
        <x:v>26.18</x:v>
      </x:c>
      <x:c r="W44" s="50" t="n">
        <x:f>T44*Assumptions!$B$6</x:f>
        <x:v>1.1</x:v>
      </x:c>
      <x:c r="X44" s="50" t="n">
        <x:f>T44-R44-W44</x:f>
        <x:v>12.16197</x:v>
      </x:c>
      <x:c r="Y44" s="54" t="n">
        <x:f>IFERROR(X44/T44,0)</x:f>
        <x:v>0.5528168181818182</x:v>
      </x:c>
      <x:c r="Z44" s="50" t="n">
        <x:v>6.9</x:v>
      </x:c>
      <x:c r="AA44" s="46" t="str"/>
    </x:row>
    <x:row r="45" ht="28" customHeight="1">
      <x:c r="A45" s="46" t="str">
        <x:v>SKU-044</x:v>
      </x:c>
      <x:c r="B45" s="46" t="str">
        <x:v>Ventilated orchid pot and cachepot</x:v>
      </x:c>
      <x:c r="C45" s="46" t="str">
        <x:v>M</x:v>
      </x:c>
      <x:c r="D45" s="46" t="str">
        <x:v>PETG</x:v>
      </x:c>
      <x:c r="E45" s="48" t="n">
        <x:v>360</x:v>
      </x:c>
      <x:c r="F45" s="48" t="n">
        <x:v>8.8</x:v>
      </x:c>
      <x:c r="G45" s="48" t="n">
        <x:v>10</x:v>
      </x:c>
      <x:c r="H45" s="50" t="n">
        <x:f>IF(C45="S",Assumptions!$B$19,IF(C45="M",Assumptions!$B$20,IF(C45="L",Assumptions!$B$21,Assumptions!$B$22)))</x:f>
        <x:v>1</x:v>
      </x:c>
      <x:c r="I45" s="50" t="n">
        <x:v>0</x:v>
      </x:c>
      <x:c r="J45" s="50" t="n">
        <x:f>IF(D45="PLA",Assumptions!$B$31,IF(D45="PETG",Assumptions!$B$32,IF(D45="ASA",Assumptions!$B$33,IF(D45="TPU",Assumptions!$B$34,IF(D45="PC Blend",Assumptions!$B$35,Assumptions!$B$36)))))</x:f>
        <x:v>26</x:v>
      </x:c>
      <x:c r="K45" s="54" t="n">
        <x:f>Assumptions!$B$9</x:f>
        <x:v>0.08</x:v>
      </x:c>
      <x:c r="L45" s="50" t="n">
        <x:f>E45/1000*J45*(1+K45)</x:f>
        <x:v>10.1088</x:v>
      </x:c>
      <x:c r="M45" s="46" t="str">
        <x:v>Core</x:v>
      </x:c>
      <x:c r="N45" s="50" t="n">
        <x:f>IF(M45="Core",Assumptions!$B$13,IF(M45="Large",Assumptions!$B$14,IF(M45="Enclosed",Assumptions!$B$15,Assumptions!$B$16)))</x:f>
        <x:v>0.75</x:v>
      </x:c>
      <x:c r="O45" s="50" t="n">
        <x:f>F45*N45</x:f>
        <x:v>6.6000000000000005</x:v>
      </x:c>
      <x:c r="P45" s="50" t="n">
        <x:f>G45/60*Assumptions!$B$8</x:f>
        <x:v>5.333333333333333</x:v>
      </x:c>
      <x:c r="Q45" s="50" t="n">
        <x:f>(H45+I45+L45+O45+P45)*Assumptions!$B$10</x:f>
        <x:v>1.1521066666666666</x:v>
      </x:c>
      <x:c r="R45" s="50" t="n">
        <x:f>H45+I45+L45+O45+P45+Q45</x:f>
        <x:v>24.19424</x:v>
      </x:c>
      <x:c r="S45" s="50" t="n">
        <x:f>IF(C45="S",Assumptions!$B$25,IF(C45="M",Assumptions!$B$26,IF(C45="L",Assumptions!$B$27,Assumptions!$B$28)))</x:f>
        <x:v>12.5</x:v>
      </x:c>
      <x:c r="T45" s="50" t="n">
        <x:f>ROUNDUP(MAX(S45,R45/(1-Assumptions!$B$6-Assumptions!$B$7))*2,0)/2</x:f>
        <x:v>60.5</x:v>
      </x:c>
      <x:c r="U45" s="54" t="n">
        <x:f>Assumptions!$B$5</x:f>
        <x:v>0.19</x:v>
      </x:c>
      <x:c r="V45" s="50" t="n">
        <x:f>T45*(1+U45)</x:f>
        <x:v>71.99499999999999</x:v>
      </x:c>
      <x:c r="W45" s="50" t="n">
        <x:f>T45*Assumptions!$B$6</x:f>
        <x:v>3.0250000000000004</x:v>
      </x:c>
      <x:c r="X45" s="50" t="n">
        <x:f>T45-R45-W45</x:f>
        <x:v>33.28076</x:v>
      </x:c>
      <x:c r="Y45" s="54" t="n">
        <x:f>IFERROR(X45/T45,0)</x:f>
        <x:v>0.5500952066115703</x:v>
      </x:c>
      <x:c r="Z45" s="50" t="n">
        <x:v>11.9</x:v>
      </x:c>
      <x:c r="AA45" s="46" t="str"/>
    </x:row>
    <x:row r="46" ht="28" customHeight="1">
      <x:c r="A46" s="46" t="str">
        <x:v>SKU-045</x:v>
      </x:c>
      <x:c r="B46" s="46" t="str">
        <x:v>Comic, slab or collectible display stand</x:v>
      </x:c>
      <x:c r="C46" s="46" t="str">
        <x:v>M</x:v>
      </x:c>
      <x:c r="D46" s="46" t="str">
        <x:v>PETG</x:v>
      </x:c>
      <x:c r="E46" s="48" t="n">
        <x:v>330</x:v>
      </x:c>
      <x:c r="F46" s="48" t="n">
        <x:v>7.2</x:v>
      </x:c>
      <x:c r="G46" s="48" t="n">
        <x:v>10</x:v>
      </x:c>
      <x:c r="H46" s="50" t="n">
        <x:f>IF(C46="S",Assumptions!$B$19,IF(C46="M",Assumptions!$B$20,IF(C46="L",Assumptions!$B$21,Assumptions!$B$22)))</x:f>
        <x:v>1</x:v>
      </x:c>
      <x:c r="I46" s="50" t="n">
        <x:v>0</x:v>
      </x:c>
      <x:c r="J46" s="50" t="n">
        <x:f>IF(D46="PLA",Assumptions!$B$31,IF(D46="PETG",Assumptions!$B$32,IF(D46="ASA",Assumptions!$B$33,IF(D46="TPU",Assumptions!$B$34,IF(D46="PC Blend",Assumptions!$B$35,Assumptions!$B$36)))))</x:f>
        <x:v>26</x:v>
      </x:c>
      <x:c r="K46" s="54" t="n">
        <x:f>Assumptions!$B$9</x:f>
        <x:v>0.08</x:v>
      </x:c>
      <x:c r="L46" s="50" t="n">
        <x:f>E46/1000*J46*(1+K46)</x:f>
        <x:v>9.2664</x:v>
      </x:c>
      <x:c r="M46" s="46" t="str">
        <x:v>Core</x:v>
      </x:c>
      <x:c r="N46" s="50" t="n">
        <x:f>IF(M46="Core",Assumptions!$B$13,IF(M46="Large",Assumptions!$B$14,IF(M46="Enclosed",Assumptions!$B$15,Assumptions!$B$16)))</x:f>
        <x:v>0.75</x:v>
      </x:c>
      <x:c r="O46" s="50" t="n">
        <x:f>F46*N46</x:f>
        <x:v>5.4</x:v>
      </x:c>
      <x:c r="P46" s="50" t="n">
        <x:f>G46/60*Assumptions!$B$8</x:f>
        <x:v>5.333333333333333</x:v>
      </x:c>
      <x:c r="Q46" s="50" t="n">
        <x:f>(H46+I46+L46+O46+P46)*Assumptions!$B$10</x:f>
        <x:v>1.0499866666666668</x:v>
      </x:c>
      <x:c r="R46" s="50" t="n">
        <x:f>H46+I46+L46+O46+P46+Q46</x:f>
        <x:v>22.04972</x:v>
      </x:c>
      <x:c r="S46" s="50" t="n">
        <x:f>IF(C46="S",Assumptions!$B$25,IF(C46="M",Assumptions!$B$26,IF(C46="L",Assumptions!$B$27,Assumptions!$B$28)))</x:f>
        <x:v>12.5</x:v>
      </x:c>
      <x:c r="T46" s="50" t="n">
        <x:f>ROUNDUP(MAX(S46,R46/(1-Assumptions!$B$6-Assumptions!$B$7))*2,0)/2</x:f>
        <x:v>55.5</x:v>
      </x:c>
      <x:c r="U46" s="54" t="n">
        <x:f>Assumptions!$B$5</x:f>
        <x:v>0.19</x:v>
      </x:c>
      <x:c r="V46" s="50" t="n">
        <x:f>T46*(1+U46)</x:f>
        <x:v>66.045</x:v>
      </x:c>
      <x:c r="W46" s="50" t="n">
        <x:f>T46*Assumptions!$B$6</x:f>
        <x:v>2.7750000000000004</x:v>
      </x:c>
      <x:c r="X46" s="50" t="n">
        <x:f>T46-R46-W46</x:f>
        <x:v>30.67528</x:v>
      </x:c>
      <x:c r="Y46" s="54" t="n">
        <x:f>IFERROR(X46/T46,0)</x:f>
        <x:v>0.5527077477477478</x:v>
      </x:c>
      <x:c r="Z46" s="50" t="n">
        <x:v>9.9</x:v>
      </x:c>
      <x:c r="AA46" s="46" t="str"/>
    </x:row>
    <x:row r="47" ht="28" customHeight="1">
      <x:c r="A47" s="46" t="str">
        <x:v>SKU-046</x:v>
      </x:c>
      <x:c r="B47" s="46" t="str">
        <x:v>Face-out book display cradle</x:v>
      </x:c>
      <x:c r="C47" s="46" t="str">
        <x:v>M</x:v>
      </x:c>
      <x:c r="D47" s="46" t="str">
        <x:v>PLA</x:v>
      </x:c>
      <x:c r="E47" s="48" t="n">
        <x:v>290</x:v>
      </x:c>
      <x:c r="F47" s="48" t="n">
        <x:v>6.5</x:v>
      </x:c>
      <x:c r="G47" s="48" t="n">
        <x:v>9</x:v>
      </x:c>
      <x:c r="H47" s="50" t="n">
        <x:f>IF(C47="S",Assumptions!$B$19,IF(C47="M",Assumptions!$B$20,IF(C47="L",Assumptions!$B$21,Assumptions!$B$22)))</x:f>
        <x:v>1</x:v>
      </x:c>
      <x:c r="I47" s="50" t="n">
        <x:v>0</x:v>
      </x:c>
      <x:c r="J47" s="50" t="n">
        <x:f>IF(D47="PLA",Assumptions!$B$31,IF(D47="PETG",Assumptions!$B$32,IF(D47="ASA",Assumptions!$B$33,IF(D47="TPU",Assumptions!$B$34,IF(D47="PC Blend",Assumptions!$B$35,Assumptions!$B$36)))))</x:f>
        <x:v>22</x:v>
      </x:c>
      <x:c r="K47" s="54" t="n">
        <x:f>Assumptions!$B$9</x:f>
        <x:v>0.08</x:v>
      </x:c>
      <x:c r="L47" s="50" t="n">
        <x:f>E47/1000*J47*(1+K47)</x:f>
        <x:v>6.8904000000000005</x:v>
      </x:c>
      <x:c r="M47" s="46" t="str">
        <x:v>Core</x:v>
      </x:c>
      <x:c r="N47" s="50" t="n">
        <x:f>IF(M47="Core",Assumptions!$B$13,IF(M47="Large",Assumptions!$B$14,IF(M47="Enclosed",Assumptions!$B$15,Assumptions!$B$16)))</x:f>
        <x:v>0.75</x:v>
      </x:c>
      <x:c r="O47" s="50" t="n">
        <x:f>F47*N47</x:f>
        <x:v>4.875</x:v>
      </x:c>
      <x:c r="P47" s="50" t="n">
        <x:f>G47/60*Assumptions!$B$8</x:f>
        <x:v>4.8</x:v>
      </x:c>
      <x:c r="Q47" s="50" t="n">
        <x:f>(H47+I47+L47+O47+P47)*Assumptions!$B$10</x:f>
        <x:v>0.8782700000000001</x:v>
      </x:c>
      <x:c r="R47" s="50" t="n">
        <x:f>H47+I47+L47+O47+P47+Q47</x:f>
        <x:v>18.44367</x:v>
      </x:c>
      <x:c r="S47" s="50" t="n">
        <x:f>IF(C47="S",Assumptions!$B$25,IF(C47="M",Assumptions!$B$26,IF(C47="L",Assumptions!$B$27,Assumptions!$B$28)))</x:f>
        <x:v>12.5</x:v>
      </x:c>
      <x:c r="T47" s="50" t="n">
        <x:f>ROUNDUP(MAX(S47,R47/(1-Assumptions!$B$6-Assumptions!$B$7))*2,0)/2</x:f>
        <x:v>46.5</x:v>
      </x:c>
      <x:c r="U47" s="54" t="n">
        <x:f>Assumptions!$B$5</x:f>
        <x:v>0.19</x:v>
      </x:c>
      <x:c r="V47" s="50" t="n">
        <x:f>T47*(1+U47)</x:f>
        <x:v>55.335</x:v>
      </x:c>
      <x:c r="W47" s="50" t="n">
        <x:f>T47*Assumptions!$B$6</x:f>
        <x:v>2.325</x:v>
      </x:c>
      <x:c r="X47" s="50" t="n">
        <x:f>T47-R47-W47</x:f>
        <x:v>25.73133</x:v>
      </x:c>
      <x:c r="Y47" s="54" t="n">
        <x:f>IFERROR(X47/T47,0)</x:f>
        <x:v>0.5533619354838709</x:v>
      </x:c>
      <x:c r="Z47" s="50" t="n">
        <x:v>9.9</x:v>
      </x:c>
      <x:c r="AA47" s="46" t="str"/>
    </x:row>
    <x:row r="48" ht="28" customHeight="1">
      <x:c r="A48" s="46" t="str">
        <x:v>SKU-047</x:v>
      </x:c>
      <x:c r="B48" s="46" t="str">
        <x:v>Stamp and ink-pad desk organizer</x:v>
      </x:c>
      <x:c r="C48" s="46" t="str">
        <x:v>M</x:v>
      </x:c>
      <x:c r="D48" s="46" t="str">
        <x:v>PETG</x:v>
      </x:c>
      <x:c r="E48" s="48" t="n">
        <x:v>270</x:v>
      </x:c>
      <x:c r="F48" s="48" t="n">
        <x:v>6.2</x:v>
      </x:c>
      <x:c r="G48" s="48" t="n">
        <x:v>10</x:v>
      </x:c>
      <x:c r="H48" s="50" t="n">
        <x:f>IF(C48="S",Assumptions!$B$19,IF(C48="M",Assumptions!$B$20,IF(C48="L",Assumptions!$B$21,Assumptions!$B$22)))</x:f>
        <x:v>1</x:v>
      </x:c>
      <x:c r="I48" s="50" t="n">
        <x:v>0</x:v>
      </x:c>
      <x:c r="J48" s="50" t="n">
        <x:f>IF(D48="PLA",Assumptions!$B$31,IF(D48="PETG",Assumptions!$B$32,IF(D48="ASA",Assumptions!$B$33,IF(D48="TPU",Assumptions!$B$34,IF(D48="PC Blend",Assumptions!$B$35,Assumptions!$B$36)))))</x:f>
        <x:v>26</x:v>
      </x:c>
      <x:c r="K48" s="54" t="n">
        <x:f>Assumptions!$B$9</x:f>
        <x:v>0.08</x:v>
      </x:c>
      <x:c r="L48" s="50" t="n">
        <x:f>E48/1000*J48*(1+K48)</x:f>
        <x:v>7.581600000000001</x:v>
      </x:c>
      <x:c r="M48" s="46" t="str">
        <x:v>Core</x:v>
      </x:c>
      <x:c r="N48" s="50" t="n">
        <x:f>IF(M48="Core",Assumptions!$B$13,IF(M48="Large",Assumptions!$B$14,IF(M48="Enclosed",Assumptions!$B$15,Assumptions!$B$16)))</x:f>
        <x:v>0.75</x:v>
      </x:c>
      <x:c r="O48" s="50" t="n">
        <x:f>F48*N48</x:f>
        <x:v>4.65</x:v>
      </x:c>
      <x:c r="P48" s="50" t="n">
        <x:f>G48/60*Assumptions!$B$8</x:f>
        <x:v>5.333333333333333</x:v>
      </x:c>
      <x:c r="Q48" s="50" t="n">
        <x:f>(H48+I48+L48+O48+P48)*Assumptions!$B$10</x:f>
        <x:v>0.9282466666666669</x:v>
      </x:c>
      <x:c r="R48" s="50" t="n">
        <x:f>H48+I48+L48+O48+P48+Q48</x:f>
        <x:v>19.493180000000002</x:v>
      </x:c>
      <x:c r="S48" s="50" t="n">
        <x:f>IF(C48="S",Assumptions!$B$25,IF(C48="M",Assumptions!$B$26,IF(C48="L",Assumptions!$B$27,Assumptions!$B$28)))</x:f>
        <x:v>12.5</x:v>
      </x:c>
      <x:c r="T48" s="50" t="n">
        <x:f>ROUNDUP(MAX(S48,R48/(1-Assumptions!$B$6-Assumptions!$B$7))*2,0)/2</x:f>
        <x:v>49</x:v>
      </x:c>
      <x:c r="U48" s="54" t="n">
        <x:f>Assumptions!$B$5</x:f>
        <x:v>0.19</x:v>
      </x:c>
      <x:c r="V48" s="50" t="n">
        <x:f>T48*(1+U48)</x:f>
        <x:v>58.309999999999995</x:v>
      </x:c>
      <x:c r="W48" s="50" t="n">
        <x:f>T48*Assumptions!$B$6</x:f>
        <x:v>2.45</x:v>
      </x:c>
      <x:c r="X48" s="50" t="n">
        <x:f>T48-R48-W48</x:f>
        <x:v>27.05682</x:v>
      </x:c>
      <x:c r="Y48" s="54" t="n">
        <x:f>IFERROR(X48/T48,0)</x:f>
        <x:v>0.55218</x:v>
      </x:c>
      <x:c r="Z48" s="50" t="n">
        <x:v>11.9</x:v>
      </x:c>
      <x:c r="AA48" s="46" t="str"/>
    </x:row>
    <x:row r="49" ht="28" customHeight="1">
      <x:c r="A49" s="46" t="str">
        <x:v>SKU-048</x:v>
      </x:c>
      <x:c r="B49" s="46" t="str">
        <x:v>Earbud charging-case protector</x:v>
      </x:c>
      <x:c r="C49" s="46" t="str">
        <x:v>S</x:v>
      </x:c>
      <x:c r="D49" s="46" t="str">
        <x:v>TPU</x:v>
      </x:c>
      <x:c r="E49" s="48" t="n">
        <x:v>28</x:v>
      </x:c>
      <x:c r="F49" s="48" t="n">
        <x:v>1.6</x:v>
      </x:c>
      <x:c r="G49" s="48" t="n">
        <x:v>8</x:v>
      </x:c>
      <x:c r="H49" s="50" t="n">
        <x:f>IF(C49="S",Assumptions!$B$19,IF(C49="M",Assumptions!$B$20,IF(C49="L",Assumptions!$B$21,Assumptions!$B$22)))</x:f>
        <x:v>0.6</x:v>
      </x:c>
      <x:c r="I49" s="50" t="n">
        <x:v>0</x:v>
      </x:c>
      <x:c r="J49" s="50" t="n">
        <x:f>IF(D49="PLA",Assumptions!$B$31,IF(D49="PETG",Assumptions!$B$32,IF(D49="ASA",Assumptions!$B$33,IF(D49="TPU",Assumptions!$B$34,IF(D49="PC Blend",Assumptions!$B$35,Assumptions!$B$36)))))</x:f>
        <x:v>35</x:v>
      </x:c>
      <x:c r="K49" s="54" t="n">
        <x:f>Assumptions!$B$9</x:f>
        <x:v>0.08</x:v>
      </x:c>
      <x:c r="L49" s="50" t="n">
        <x:f>E49/1000*J49*(1+K49)</x:f>
        <x:v>1.0584</x:v>
      </x:c>
      <x:c r="M49" s="46" t="str">
        <x:v>Flexible</x:v>
      </x:c>
      <x:c r="N49" s="50" t="n">
        <x:f>IF(M49="Core",Assumptions!$B$13,IF(M49="Large",Assumptions!$B$14,IF(M49="Enclosed",Assumptions!$B$15,Assumptions!$B$16)))</x:f>
        <x:v>0.85</x:v>
      </x:c>
      <x:c r="O49" s="50" t="n">
        <x:f>F49*N49</x:f>
        <x:v>1.36</x:v>
      </x:c>
      <x:c r="P49" s="50" t="n">
        <x:f>G49/60*Assumptions!$B$8</x:f>
        <x:v>4.266666666666667</x:v>
      </x:c>
      <x:c r="Q49" s="50" t="n">
        <x:f>(H49+I49+L49+O49+P49)*Assumptions!$B$10</x:f>
        <x:v>0.3642533333333333</x:v>
      </x:c>
      <x:c r="R49" s="50" t="n">
        <x:f>H49+I49+L49+O49+P49+Q49</x:f>
        <x:v>7.6493199999999995</x:v>
      </x:c>
      <x:c r="S49" s="50" t="n">
        <x:f>IF(C49="S",Assumptions!$B$25,IF(C49="M",Assumptions!$B$26,IF(C49="L",Assumptions!$B$27,Assumptions!$B$28)))</x:f>
        <x:v>7.5</x:v>
      </x:c>
      <x:c r="T49" s="50" t="n">
        <x:f>ROUNDUP(MAX(S49,R49/(1-Assumptions!$B$6-Assumptions!$B$7))*2,0)/2</x:f>
        <x:v>19.5</x:v>
      </x:c>
      <x:c r="U49" s="54" t="n">
        <x:f>Assumptions!$B$5</x:f>
        <x:v>0.19</x:v>
      </x:c>
      <x:c r="V49" s="50" t="n">
        <x:f>T49*(1+U49)</x:f>
        <x:v>23.205</x:v>
      </x:c>
      <x:c r="W49" s="50" t="n">
        <x:f>T49*Assumptions!$B$6</x:f>
        <x:v>0.9750000000000001</x:v>
      </x:c>
      <x:c r="X49" s="50" t="n">
        <x:f>T49-R49-W49</x:f>
        <x:v>10.875680000000001</x:v>
      </x:c>
      <x:c r="Y49" s="54" t="n">
        <x:f>IFERROR(X49/T49,0)</x:f>
        <x:v>0.5577271794871795</x:v>
      </x:c>
      <x:c r="Z49" s="50" t="n">
        <x:v>6.9</x:v>
      </x:c>
      <x:c r="AA49" s="46" t="str"/>
    </x:row>
    <x:row r="50" ht="28" customHeight="1">
      <x:c r="A50" s="46" t="str">
        <x:v>SKU-049</x:v>
      </x:c>
      <x:c r="B50" s="46" t="str">
        <x:v>Power-brick cradle</x:v>
      </x:c>
      <x:c r="C50" s="46" t="str">
        <x:v>M</x:v>
      </x:c>
      <x:c r="D50" s="46" t="str">
        <x:v>PETG</x:v>
      </x:c>
      <x:c r="E50" s="48" t="n">
        <x:v>170</x:v>
      </x:c>
      <x:c r="F50" s="48" t="n">
        <x:v>4.1</x:v>
      </x:c>
      <x:c r="G50" s="48" t="n">
        <x:v>14</x:v>
      </x:c>
      <x:c r="H50" s="50" t="n">
        <x:f>IF(C50="S",Assumptions!$B$19,IF(C50="M",Assumptions!$B$20,IF(C50="L",Assumptions!$B$21,Assumptions!$B$22)))</x:f>
        <x:v>1</x:v>
      </x:c>
      <x:c r="I50" s="50" t="n">
        <x:v>0</x:v>
      </x:c>
      <x:c r="J50" s="50" t="n">
        <x:f>IF(D50="PLA",Assumptions!$B$31,IF(D50="PETG",Assumptions!$B$32,IF(D50="ASA",Assumptions!$B$33,IF(D50="TPU",Assumptions!$B$34,IF(D50="PC Blend",Assumptions!$B$35,Assumptions!$B$36)))))</x:f>
        <x:v>26</x:v>
      </x:c>
      <x:c r="K50" s="54" t="n">
        <x:f>Assumptions!$B$9</x:f>
        <x:v>0.08</x:v>
      </x:c>
      <x:c r="L50" s="50" t="n">
        <x:f>E50/1000*J50*(1+K50)</x:f>
        <x:v>4.7736</x:v>
      </x:c>
      <x:c r="M50" s="46" t="str">
        <x:v>Core</x:v>
      </x:c>
      <x:c r="N50" s="50" t="n">
        <x:f>IF(M50="Core",Assumptions!$B$13,IF(M50="Large",Assumptions!$B$14,IF(M50="Enclosed",Assumptions!$B$15,Assumptions!$B$16)))</x:f>
        <x:v>0.75</x:v>
      </x:c>
      <x:c r="O50" s="50" t="n">
        <x:f>F50*N50</x:f>
        <x:v>3.0749999999999997</x:v>
      </x:c>
      <x:c r="P50" s="50" t="n">
        <x:f>G50/60*Assumptions!$B$8</x:f>
        <x:v>7.466666666666667</x:v>
      </x:c>
      <x:c r="Q50" s="50" t="n">
        <x:f>(H50+I50+L50+O50+P50)*Assumptions!$B$10</x:f>
        <x:v>0.8157633333333334</x:v>
      </x:c>
      <x:c r="R50" s="50" t="n">
        <x:f>H50+I50+L50+O50+P50+Q50</x:f>
        <x:v>17.13103</x:v>
      </x:c>
      <x:c r="S50" s="50" t="n">
        <x:f>IF(C50="S",Assumptions!$B$25,IF(C50="M",Assumptions!$B$26,IF(C50="L",Assumptions!$B$27,Assumptions!$B$28)))</x:f>
        <x:v>12.5</x:v>
      </x:c>
      <x:c r="T50" s="50" t="n">
        <x:f>ROUNDUP(MAX(S50,R50/(1-Assumptions!$B$6-Assumptions!$B$7))*2,0)/2</x:f>
        <x:v>43</x:v>
      </x:c>
      <x:c r="U50" s="54" t="n">
        <x:f>Assumptions!$B$5</x:f>
        <x:v>0.19</x:v>
      </x:c>
      <x:c r="V50" s="50" t="n">
        <x:f>T50*(1+U50)</x:f>
        <x:v>51.169999999999995</x:v>
      </x:c>
      <x:c r="W50" s="50" t="n">
        <x:f>T50*Assumptions!$B$6</x:f>
        <x:v>2.15</x:v>
      </x:c>
      <x:c r="X50" s="50" t="n">
        <x:f>T50-R50-W50</x:f>
        <x:v>23.718970000000002</x:v>
      </x:c>
      <x:c r="Y50" s="54" t="n">
        <x:f>IFERROR(X50/T50,0)</x:f>
        <x:v>0.5516039534883721</x:v>
      </x:c>
      <x:c r="Z50" s="50" t="n">
        <x:v>11.9</x:v>
      </x:c>
      <x:c r="AA50" s="46" t="str"/>
    </x:row>
    <x:row r="51" ht="28" customHeight="1">
      <x:c r="A51" s="46" t="str">
        <x:v>SKU-050</x:v>
      </x:c>
      <x:c r="B51" s="46" t="str">
        <x:v>Modular token-tray set with lids</x:v>
      </x:c>
      <x:c r="C51" s="46" t="str">
        <x:v>M</x:v>
      </x:c>
      <x:c r="D51" s="46" t="str">
        <x:v>PETG</x:v>
      </x:c>
      <x:c r="E51" s="48" t="n">
        <x:v>440</x:v>
      </x:c>
      <x:c r="F51" s="48" t="n">
        <x:v>10</x:v>
      </x:c>
      <x:c r="G51" s="48" t="n">
        <x:v>14</x:v>
      </x:c>
      <x:c r="H51" s="50" t="n">
        <x:f>IF(C51="S",Assumptions!$B$19,IF(C51="M",Assumptions!$B$20,IF(C51="L",Assumptions!$B$21,Assumptions!$B$22)))</x:f>
        <x:v>1</x:v>
      </x:c>
      <x:c r="I51" s="50" t="n">
        <x:v>0</x:v>
      </x:c>
      <x:c r="J51" s="50" t="n">
        <x:f>IF(D51="PLA",Assumptions!$B$31,IF(D51="PETG",Assumptions!$B$32,IF(D51="ASA",Assumptions!$B$33,IF(D51="TPU",Assumptions!$B$34,IF(D51="PC Blend",Assumptions!$B$35,Assumptions!$B$36)))))</x:f>
        <x:v>26</x:v>
      </x:c>
      <x:c r="K51" s="54" t="n">
        <x:f>Assumptions!$B$9</x:f>
        <x:v>0.08</x:v>
      </x:c>
      <x:c r="L51" s="50" t="n">
        <x:f>E51/1000*J51*(1+K51)</x:f>
        <x:v>12.3552</x:v>
      </x:c>
      <x:c r="M51" s="46" t="str">
        <x:v>Core</x:v>
      </x:c>
      <x:c r="N51" s="50" t="n">
        <x:f>IF(M51="Core",Assumptions!$B$13,IF(M51="Large",Assumptions!$B$14,IF(M51="Enclosed",Assumptions!$B$15,Assumptions!$B$16)))</x:f>
        <x:v>0.75</x:v>
      </x:c>
      <x:c r="O51" s="50" t="n">
        <x:f>F51*N51</x:f>
        <x:v>7.5</x:v>
      </x:c>
      <x:c r="P51" s="50" t="n">
        <x:f>G51/60*Assumptions!$B$8</x:f>
        <x:v>7.466666666666667</x:v>
      </x:c>
      <x:c r="Q51" s="50" t="n">
        <x:f>(H51+I51+L51+O51+P51)*Assumptions!$B$10</x:f>
        <x:v>1.4160933333333334</x:v>
      </x:c>
      <x:c r="R51" s="50" t="n">
        <x:f>H51+I51+L51+O51+P51+Q51</x:f>
        <x:v>29.737959999999998</x:v>
      </x:c>
      <x:c r="S51" s="50" t="n">
        <x:f>IF(C51="S",Assumptions!$B$25,IF(C51="M",Assumptions!$B$26,IF(C51="L",Assumptions!$B$27,Assumptions!$B$28)))</x:f>
        <x:v>12.5</x:v>
      </x:c>
      <x:c r="T51" s="50" t="n">
        <x:f>ROUNDUP(MAX(S51,R51/(1-Assumptions!$B$6-Assumptions!$B$7))*2,0)/2</x:f>
        <x:v>74.5</x:v>
      </x:c>
      <x:c r="U51" s="54" t="n">
        <x:f>Assumptions!$B$5</x:f>
        <x:v>0.19</x:v>
      </x:c>
      <x:c r="V51" s="50" t="n">
        <x:f>T51*(1+U51)</x:f>
        <x:v>88.655</x:v>
      </x:c>
      <x:c r="W51" s="50" t="n">
        <x:f>T51*Assumptions!$B$6</x:f>
        <x:v>3.725</x:v>
      </x:c>
      <x:c r="X51" s="50" t="n">
        <x:f>T51-R51-W51</x:f>
        <x:v>41.03704</x:v>
      </x:c>
      <x:c r="Y51" s="54" t="n">
        <x:f>IFERROR(X51/T51,0)</x:f>
        <x:v>0.5508327516778523</x:v>
      </x:c>
      <x:c r="Z51" s="50" t="n">
        <x:v>11.9</x:v>
      </x:c>
      <x:c r="AA51" s="46" t="str"/>
    </x:row>
    <x:row r="52" ht="28" customHeight="1">
      <x:c r="A52" s="46" t="str">
        <x:v>SKU-051</x:v>
      </x:c>
      <x:c r="B52" s="46" t="str">
        <x:v>Under-desk headphone hook</x:v>
      </x:c>
      <x:c r="C52" s="46" t="str">
        <x:v>S</x:v>
      </x:c>
      <x:c r="D52" s="46" t="str">
        <x:v>PETG</x:v>
      </x:c>
      <x:c r="E52" s="48" t="n">
        <x:v>95</x:v>
      </x:c>
      <x:c r="F52" s="48" t="n">
        <x:v>2.1</x:v>
      </x:c>
      <x:c r="G52" s="48" t="n">
        <x:v>10</x:v>
      </x:c>
      <x:c r="H52" s="50" t="n">
        <x:f>IF(C52="S",Assumptions!$B$19,IF(C52="M",Assumptions!$B$20,IF(C52="L",Assumptions!$B$21,Assumptions!$B$22)))</x:f>
        <x:v>0.6</x:v>
      </x:c>
      <x:c r="I52" s="50" t="n">
        <x:v>0</x:v>
      </x:c>
      <x:c r="J52" s="50" t="n">
        <x:f>IF(D52="PLA",Assumptions!$B$31,IF(D52="PETG",Assumptions!$B$32,IF(D52="ASA",Assumptions!$B$33,IF(D52="TPU",Assumptions!$B$34,IF(D52="PC Blend",Assumptions!$B$35,Assumptions!$B$36)))))</x:f>
        <x:v>26</x:v>
      </x:c>
      <x:c r="K52" s="54" t="n">
        <x:f>Assumptions!$B$9</x:f>
        <x:v>0.08</x:v>
      </x:c>
      <x:c r="L52" s="50" t="n">
        <x:f>E52/1000*J52*(1+K52)</x:f>
        <x:v>2.6676</x:v>
      </x:c>
      <x:c r="M52" s="46" t="str">
        <x:v>Core</x:v>
      </x:c>
      <x:c r="N52" s="50" t="n">
        <x:f>IF(M52="Core",Assumptions!$B$13,IF(M52="Large",Assumptions!$B$14,IF(M52="Enclosed",Assumptions!$B$15,Assumptions!$B$16)))</x:f>
        <x:v>0.75</x:v>
      </x:c>
      <x:c r="O52" s="50" t="n">
        <x:f>F52*N52</x:f>
        <x:v>1.5750000000000002</x:v>
      </x:c>
      <x:c r="P52" s="50" t="n">
        <x:f>G52/60*Assumptions!$B$8</x:f>
        <x:v>5.333333333333333</x:v>
      </x:c>
      <x:c r="Q52" s="50" t="n">
        <x:f>(H52+I52+L52+O52+P52)*Assumptions!$B$10</x:f>
        <x:v>0.5087966666666667</x:v>
      </x:c>
      <x:c r="R52" s="50" t="n">
        <x:f>H52+I52+L52+O52+P52+Q52</x:f>
        <x:v>10.68473</x:v>
      </x:c>
      <x:c r="S52" s="50" t="n">
        <x:f>IF(C52="S",Assumptions!$B$25,IF(C52="M",Assumptions!$B$26,IF(C52="L",Assumptions!$B$27,Assumptions!$B$28)))</x:f>
        <x:v>7.5</x:v>
      </x:c>
      <x:c r="T52" s="50" t="n">
        <x:f>ROUNDUP(MAX(S52,R52/(1-Assumptions!$B$6-Assumptions!$B$7))*2,0)/2</x:f>
        <x:v>27</x:v>
      </x:c>
      <x:c r="U52" s="54" t="n">
        <x:f>Assumptions!$B$5</x:f>
        <x:v>0.19</x:v>
      </x:c>
      <x:c r="V52" s="50" t="n">
        <x:f>T52*(1+U52)</x:f>
        <x:v>32.129999999999995</x:v>
      </x:c>
      <x:c r="W52" s="50" t="n">
        <x:f>T52*Assumptions!$B$6</x:f>
        <x:v>1.35</x:v>
      </x:c>
      <x:c r="X52" s="50" t="n">
        <x:f>T52-R52-W52</x:f>
        <x:v>14.965269999999999</x:v>
      </x:c>
      <x:c r="Y52" s="54" t="n">
        <x:f>IFERROR(X52/T52,0)</x:f>
        <x:v>0.5542692592592592</x:v>
      </x:c>
      <x:c r="Z52" s="50" t="n">
        <x:v>6.9</x:v>
      </x:c>
      <x:c r="AA52" s="46" t="str"/>
    </x:row>
    <x:row r="53" ht="28" customHeight="1">
      <x:c r="A53" s="46" t="str">
        <x:v>SKU-052</x:v>
      </x:c>
      <x:c r="B53" s="46" t="str">
        <x:v>Parametric deck box and divider system</x:v>
      </x:c>
      <x:c r="C53" s="46" t="str">
        <x:v>M</x:v>
      </x:c>
      <x:c r="D53" s="46" t="str">
        <x:v>PETG</x:v>
      </x:c>
      <x:c r="E53" s="48" t="n">
        <x:v>240</x:v>
      </x:c>
      <x:c r="F53" s="48" t="n">
        <x:v>5.5</x:v>
      </x:c>
      <x:c r="G53" s="48" t="n">
        <x:v>10</x:v>
      </x:c>
      <x:c r="H53" s="50" t="n">
        <x:f>IF(C53="S",Assumptions!$B$19,IF(C53="M",Assumptions!$B$20,IF(C53="L",Assumptions!$B$21,Assumptions!$B$22)))</x:f>
        <x:v>1</x:v>
      </x:c>
      <x:c r="I53" s="50" t="n">
        <x:v>0</x:v>
      </x:c>
      <x:c r="J53" s="50" t="n">
        <x:f>IF(D53="PLA",Assumptions!$B$31,IF(D53="PETG",Assumptions!$B$32,IF(D53="ASA",Assumptions!$B$33,IF(D53="TPU",Assumptions!$B$34,IF(D53="PC Blend",Assumptions!$B$35,Assumptions!$B$36)))))</x:f>
        <x:v>26</x:v>
      </x:c>
      <x:c r="K53" s="54" t="n">
        <x:f>Assumptions!$B$9</x:f>
        <x:v>0.08</x:v>
      </x:c>
      <x:c r="L53" s="50" t="n">
        <x:f>E53/1000*J53*(1+K53)</x:f>
        <x:v>6.7392</x:v>
      </x:c>
      <x:c r="M53" s="46" t="str">
        <x:v>Core</x:v>
      </x:c>
      <x:c r="N53" s="50" t="n">
        <x:f>IF(M53="Core",Assumptions!$B$13,IF(M53="Large",Assumptions!$B$14,IF(M53="Enclosed",Assumptions!$B$15,Assumptions!$B$16)))</x:f>
        <x:v>0.75</x:v>
      </x:c>
      <x:c r="O53" s="50" t="n">
        <x:f>F53*N53</x:f>
        <x:v>4.125</x:v>
      </x:c>
      <x:c r="P53" s="50" t="n">
        <x:f>G53/60*Assumptions!$B$8</x:f>
        <x:v>5.333333333333333</x:v>
      </x:c>
      <x:c r="Q53" s="50" t="n">
        <x:f>(H53+I53+L53+O53+P53)*Assumptions!$B$10</x:f>
        <x:v>0.8598766666666666</x:v>
      </x:c>
      <x:c r="R53" s="50" t="n">
        <x:f>H53+I53+L53+O53+P53+Q53</x:f>
        <x:v>18.057409999999997</x:v>
      </x:c>
      <x:c r="S53" s="50" t="n">
        <x:f>IF(C53="S",Assumptions!$B$25,IF(C53="M",Assumptions!$B$26,IF(C53="L",Assumptions!$B$27,Assumptions!$B$28)))</x:f>
        <x:v>12.5</x:v>
      </x:c>
      <x:c r="T53" s="50" t="n">
        <x:f>ROUNDUP(MAX(S53,R53/(1-Assumptions!$B$6-Assumptions!$B$7))*2,0)/2</x:f>
        <x:v>45.5</x:v>
      </x:c>
      <x:c r="U53" s="54" t="n">
        <x:f>Assumptions!$B$5</x:f>
        <x:v>0.19</x:v>
      </x:c>
      <x:c r="V53" s="50" t="n">
        <x:f>T53*(1+U53)</x:f>
        <x:v>54.144999999999996</x:v>
      </x:c>
      <x:c r="W53" s="50" t="n">
        <x:f>T53*Assumptions!$B$6</x:f>
        <x:v>2.275</x:v>
      </x:c>
      <x:c r="X53" s="50" t="n">
        <x:f>T53-R53-W53</x:f>
        <x:v>25.167590000000004</x:v>
      </x:c>
      <x:c r="Y53" s="54" t="n">
        <x:f>IFERROR(X53/T53,0)</x:f>
        <x:v>0.5531338461538462</x:v>
      </x:c>
      <x:c r="Z53" s="50" t="n">
        <x:v>9.9</x:v>
      </x:c>
      <x:c r="AA53" s="46" t="str"/>
    </x:row>
    <x:row r="54" ht="28" customHeight="1">
      <x:c r="A54" s="46" t="str">
        <x:v>SKU-053</x:v>
      </x:c>
      <x:c r="B54" s="46" t="str">
        <x:v>Page-holder thumb tool</x:v>
      </x:c>
      <x:c r="C54" s="46" t="str">
        <x:v>S</x:v>
      </x:c>
      <x:c r="D54" s="46" t="str">
        <x:v>PLA</x:v>
      </x:c>
      <x:c r="E54" s="48" t="n">
        <x:v>18</x:v>
      </x:c>
      <x:c r="F54" s="48" t="n">
        <x:v>0.7</x:v>
      </x:c>
      <x:c r="G54" s="48" t="n">
        <x:v>6</x:v>
      </x:c>
      <x:c r="H54" s="50" t="n">
        <x:f>IF(C54="S",Assumptions!$B$19,IF(C54="M",Assumptions!$B$20,IF(C54="L",Assumptions!$B$21,Assumptions!$B$22)))</x:f>
        <x:v>0.6</x:v>
      </x:c>
      <x:c r="I54" s="50" t="n">
        <x:v>0</x:v>
      </x:c>
      <x:c r="J54" s="50" t="n">
        <x:f>IF(D54="PLA",Assumptions!$B$31,IF(D54="PETG",Assumptions!$B$32,IF(D54="ASA",Assumptions!$B$33,IF(D54="TPU",Assumptions!$B$34,IF(D54="PC Blend",Assumptions!$B$35,Assumptions!$B$36)))))</x:f>
        <x:v>22</x:v>
      </x:c>
      <x:c r="K54" s="54" t="n">
        <x:f>Assumptions!$B$9</x:f>
        <x:v>0.08</x:v>
      </x:c>
      <x:c r="L54" s="50" t="n">
        <x:f>E54/1000*J54*(1+K54)</x:f>
        <x:v>0.42768</x:v>
      </x:c>
      <x:c r="M54" s="46" t="str">
        <x:v>Core</x:v>
      </x:c>
      <x:c r="N54" s="50" t="n">
        <x:f>IF(M54="Core",Assumptions!$B$13,IF(M54="Large",Assumptions!$B$14,IF(M54="Enclosed",Assumptions!$B$15,Assumptions!$B$16)))</x:f>
        <x:v>0.75</x:v>
      </x:c>
      <x:c r="O54" s="50" t="n">
        <x:f>F54*N54</x:f>
        <x:v>0.5249999999999999</x:v>
      </x:c>
      <x:c r="P54" s="50" t="n">
        <x:f>G54/60*Assumptions!$B$8</x:f>
        <x:v>3.2</x:v>
      </x:c>
      <x:c r="Q54" s="50" t="n">
        <x:f>(H54+I54+L54+O54+P54)*Assumptions!$B$10</x:f>
        <x:v>0.237634</x:v>
      </x:c>
      <x:c r="R54" s="50" t="n">
        <x:f>H54+I54+L54+O54+P54+Q54</x:f>
        <x:v>4.990314</x:v>
      </x:c>
      <x:c r="S54" s="50" t="n">
        <x:f>IF(C54="S",Assumptions!$B$25,IF(C54="M",Assumptions!$B$26,IF(C54="L",Assumptions!$B$27,Assumptions!$B$28)))</x:f>
        <x:v>7.5</x:v>
      </x:c>
      <x:c r="T54" s="50" t="n">
        <x:f>ROUNDUP(MAX(S54,R54/(1-Assumptions!$B$6-Assumptions!$B$7))*2,0)/2</x:f>
        <x:v>12.5</x:v>
      </x:c>
      <x:c r="U54" s="54" t="n">
        <x:f>Assumptions!$B$5</x:f>
        <x:v>0.19</x:v>
      </x:c>
      <x:c r="V54" s="50" t="n">
        <x:f>T54*(1+U54)</x:f>
        <x:v>14.875</x:v>
      </x:c>
      <x:c r="W54" s="50" t="n">
        <x:f>T54*Assumptions!$B$6</x:f>
        <x:v>0.625</x:v>
      </x:c>
      <x:c r="X54" s="50" t="n">
        <x:f>T54-R54-W54</x:f>
        <x:v>6.884686</x:v>
      </x:c>
      <x:c r="Y54" s="54" t="n">
        <x:f>IFERROR(X54/T54,0)</x:f>
        <x:v>0.5507748800000001</x:v>
      </x:c>
      <x:c r="Z54" s="50" t="n">
        <x:v>4.9</x:v>
      </x:c>
      <x:c r="AA54" s="46" t="str"/>
    </x:row>
    <x:row r="55" ht="28" customHeight="1">
      <x:c r="A55" s="46" t="str">
        <x:v>SKU-054</x:v>
      </x:c>
      <x:c r="B55" s="46" t="str">
        <x:v>Personalized key rail</x:v>
      </x:c>
      <x:c r="C55" s="46" t="str">
        <x:v>M</x:v>
      </x:c>
      <x:c r="D55" s="46" t="str">
        <x:v>PETG</x:v>
      </x:c>
      <x:c r="E55" s="48" t="n">
        <x:v>190</x:v>
      </x:c>
      <x:c r="F55" s="48" t="n">
        <x:v>4.5</x:v>
      </x:c>
      <x:c r="G55" s="48" t="n">
        <x:v>15</x:v>
      </x:c>
      <x:c r="H55" s="50" t="n">
        <x:f>IF(C55="S",Assumptions!$B$19,IF(C55="M",Assumptions!$B$20,IF(C55="L",Assumptions!$B$21,Assumptions!$B$22)))</x:f>
        <x:v>1</x:v>
      </x:c>
      <x:c r="I55" s="50" t="n">
        <x:v>0</x:v>
      </x:c>
      <x:c r="J55" s="50" t="n">
        <x:f>IF(D55="PLA",Assumptions!$B$31,IF(D55="PETG",Assumptions!$B$32,IF(D55="ASA",Assumptions!$B$33,IF(D55="TPU",Assumptions!$B$34,IF(D55="PC Blend",Assumptions!$B$35,Assumptions!$B$36)))))</x:f>
        <x:v>26</x:v>
      </x:c>
      <x:c r="K55" s="54" t="n">
        <x:f>Assumptions!$B$9</x:f>
        <x:v>0.08</x:v>
      </x:c>
      <x:c r="L55" s="50" t="n">
        <x:f>E55/1000*J55*(1+K55)</x:f>
        <x:v>5.3352</x:v>
      </x:c>
      <x:c r="M55" s="46" t="str">
        <x:v>Core</x:v>
      </x:c>
      <x:c r="N55" s="50" t="n">
        <x:f>IF(M55="Core",Assumptions!$B$13,IF(M55="Large",Assumptions!$B$14,IF(M55="Enclosed",Assumptions!$B$15,Assumptions!$B$16)))</x:f>
        <x:v>0.75</x:v>
      </x:c>
      <x:c r="O55" s="50" t="n">
        <x:f>F55*N55</x:f>
        <x:v>3.375</x:v>
      </x:c>
      <x:c r="P55" s="50" t="n">
        <x:f>G55/60*Assumptions!$B$8</x:f>
        <x:v>8</x:v>
      </x:c>
      <x:c r="Q55" s="50" t="n">
        <x:f>(H55+I55+L55+O55+P55)*Assumptions!$B$10</x:f>
        <x:v>0.88551</x:v>
      </x:c>
      <x:c r="R55" s="50" t="n">
        <x:f>H55+I55+L55+O55+P55+Q55</x:f>
        <x:v>18.59571</x:v>
      </x:c>
      <x:c r="S55" s="50" t="n">
        <x:f>IF(C55="S",Assumptions!$B$25,IF(C55="M",Assumptions!$B$26,IF(C55="L",Assumptions!$B$27,Assumptions!$B$28)))</x:f>
        <x:v>12.5</x:v>
      </x:c>
      <x:c r="T55" s="50" t="n">
        <x:f>ROUNDUP(MAX(S55,R55/(1-Assumptions!$B$6-Assumptions!$B$7))*2,0)/2</x:f>
        <x:v>46.5</x:v>
      </x:c>
      <x:c r="U55" s="54" t="n">
        <x:f>Assumptions!$B$5</x:f>
        <x:v>0.19</x:v>
      </x:c>
      <x:c r="V55" s="50" t="n">
        <x:f>T55*(1+U55)</x:f>
        <x:v>55.335</x:v>
      </x:c>
      <x:c r="W55" s="50" t="n">
        <x:f>T55*Assumptions!$B$6</x:f>
        <x:v>2.325</x:v>
      </x:c>
      <x:c r="X55" s="50" t="n">
        <x:f>T55-R55-W55</x:f>
        <x:v>25.57929</x:v>
      </x:c>
      <x:c r="Y55" s="54" t="n">
        <x:f>IFERROR(X55/T55,0)</x:f>
        <x:v>0.5500922580645161</x:v>
      </x:c>
      <x:c r="Z55" s="50" t="n">
        <x:v>11.9</x:v>
      </x:c>
      <x:c r="AA55" s="46" t="str"/>
    </x:row>
    <x:row r="56" ht="28" customHeight="1">
      <x:c r="A56" s="46" t="str">
        <x:v>SKU-055</x:v>
      </x:c>
      <x:c r="B56" s="46" t="str">
        <x:v>Exact-fit self-watering windowsill planter</x:v>
      </x:c>
      <x:c r="C56" s="46" t="str">
        <x:v>M</x:v>
      </x:c>
      <x:c r="D56" s="46" t="str">
        <x:v>PETG</x:v>
      </x:c>
      <x:c r="E56" s="48" t="n">
        <x:v>500</x:v>
      </x:c>
      <x:c r="F56" s="48" t="n">
        <x:v>12</x:v>
      </x:c>
      <x:c r="G56" s="48" t="n">
        <x:v>18</x:v>
      </x:c>
      <x:c r="H56" s="50" t="n">
        <x:f>IF(C56="S",Assumptions!$B$19,IF(C56="M",Assumptions!$B$20,IF(C56="L",Assumptions!$B$21,Assumptions!$B$22)))</x:f>
        <x:v>1</x:v>
      </x:c>
      <x:c r="I56" s="50" t="n">
        <x:v>0</x:v>
      </x:c>
      <x:c r="J56" s="50" t="n">
        <x:f>IF(D56="PLA",Assumptions!$B$31,IF(D56="PETG",Assumptions!$B$32,IF(D56="ASA",Assumptions!$B$33,IF(D56="TPU",Assumptions!$B$34,IF(D56="PC Blend",Assumptions!$B$35,Assumptions!$B$36)))))</x:f>
        <x:v>26</x:v>
      </x:c>
      <x:c r="K56" s="54" t="n">
        <x:f>Assumptions!$B$9</x:f>
        <x:v>0.08</x:v>
      </x:c>
      <x:c r="L56" s="50" t="n">
        <x:f>E56/1000*J56*(1+K56)</x:f>
        <x:v>14.040000000000001</x:v>
      </x:c>
      <x:c r="M56" s="46" t="str">
        <x:v>Core</x:v>
      </x:c>
      <x:c r="N56" s="50" t="n">
        <x:f>IF(M56="Core",Assumptions!$B$13,IF(M56="Large",Assumptions!$B$14,IF(M56="Enclosed",Assumptions!$B$15,Assumptions!$B$16)))</x:f>
        <x:v>0.75</x:v>
      </x:c>
      <x:c r="O56" s="50" t="n">
        <x:f>F56*N56</x:f>
        <x:v>9</x:v>
      </x:c>
      <x:c r="P56" s="50" t="n">
        <x:f>G56/60*Assumptions!$B$8</x:f>
        <x:v>9.6</x:v>
      </x:c>
      <x:c r="Q56" s="50" t="n">
        <x:f>(H56+I56+L56+O56+P56)*Assumptions!$B$10</x:f>
        <x:v>1.6820000000000002</x:v>
      </x:c>
      <x:c r="R56" s="50" t="n">
        <x:f>H56+I56+L56+O56+P56+Q56</x:f>
        <x:v>35.322</x:v>
      </x:c>
      <x:c r="S56" s="50" t="n">
        <x:f>IF(C56="S",Assumptions!$B$25,IF(C56="M",Assumptions!$B$26,IF(C56="L",Assumptions!$B$27,Assumptions!$B$28)))</x:f>
        <x:v>12.5</x:v>
      </x:c>
      <x:c r="T56" s="50" t="n">
        <x:f>ROUNDUP(MAX(S56,R56/(1-Assumptions!$B$6-Assumptions!$B$7))*2,0)/2</x:f>
        <x:v>88.5</x:v>
      </x:c>
      <x:c r="U56" s="54" t="n">
        <x:f>Assumptions!$B$5</x:f>
        <x:v>0.19</x:v>
      </x:c>
      <x:c r="V56" s="50" t="n">
        <x:f>T56*(1+U56)</x:f>
        <x:v>105.315</x:v>
      </x:c>
      <x:c r="W56" s="50" t="n">
        <x:f>T56*Assumptions!$B$6</x:f>
        <x:v>4.425</x:v>
      </x:c>
      <x:c r="X56" s="50" t="n">
        <x:f>T56-R56-W56</x:f>
        <x:v>48.753</x:v>
      </x:c>
      <x:c r="Y56" s="54" t="n">
        <x:f>IFERROR(X56/T56,0)</x:f>
        <x:v>0.5508813559322034</x:v>
      </x:c>
      <x:c r="Z56" s="50" t="n">
        <x:v>14.9</x:v>
      </x:c>
      <x:c r="AA56" s="46" t="str"/>
    </x:row>
    <x:row r="57" ht="28" customHeight="1">
      <x:c r="A57" s="46" t="str">
        <x:v>SKU-056</x:v>
      </x:c>
      <x:c r="B57" s="46" t="str">
        <x:v>Draining toothbrush and razor stand</x:v>
      </x:c>
      <x:c r="C57" s="46" t="str">
        <x:v>M</x:v>
      </x:c>
      <x:c r="D57" s="46" t="str">
        <x:v>PETG</x:v>
      </x:c>
      <x:c r="E57" s="48" t="n">
        <x:v>190</x:v>
      </x:c>
      <x:c r="F57" s="48" t="n">
        <x:v>4.4</x:v>
      </x:c>
      <x:c r="G57" s="48" t="n">
        <x:v>9</x:v>
      </x:c>
      <x:c r="H57" s="50" t="n">
        <x:f>IF(C57="S",Assumptions!$B$19,IF(C57="M",Assumptions!$B$20,IF(C57="L",Assumptions!$B$21,Assumptions!$B$22)))</x:f>
        <x:v>1</x:v>
      </x:c>
      <x:c r="I57" s="50" t="n">
        <x:v>0</x:v>
      </x:c>
      <x:c r="J57" s="50" t="n">
        <x:f>IF(D57="PLA",Assumptions!$B$31,IF(D57="PETG",Assumptions!$B$32,IF(D57="ASA",Assumptions!$B$33,IF(D57="TPU",Assumptions!$B$34,IF(D57="PC Blend",Assumptions!$B$35,Assumptions!$B$36)))))</x:f>
        <x:v>26</x:v>
      </x:c>
      <x:c r="K57" s="54" t="n">
        <x:f>Assumptions!$B$9</x:f>
        <x:v>0.08</x:v>
      </x:c>
      <x:c r="L57" s="50" t="n">
        <x:f>E57/1000*J57*(1+K57)</x:f>
        <x:v>5.3352</x:v>
      </x:c>
      <x:c r="M57" s="46" t="str">
        <x:v>Core</x:v>
      </x:c>
      <x:c r="N57" s="50" t="n">
        <x:f>IF(M57="Core",Assumptions!$B$13,IF(M57="Large",Assumptions!$B$14,IF(M57="Enclosed",Assumptions!$B$15,Assumptions!$B$16)))</x:f>
        <x:v>0.75</x:v>
      </x:c>
      <x:c r="O57" s="50" t="n">
        <x:f>F57*N57</x:f>
        <x:v>3.3000000000000003</x:v>
      </x:c>
      <x:c r="P57" s="50" t="n">
        <x:f>G57/60*Assumptions!$B$8</x:f>
        <x:v>4.8</x:v>
      </x:c>
      <x:c r="Q57" s="50" t="n">
        <x:f>(H57+I57+L57+O57+P57)*Assumptions!$B$10</x:f>
        <x:v>0.7217600000000002</x:v>
      </x:c>
      <x:c r="R57" s="50" t="n">
        <x:f>H57+I57+L57+O57+P57+Q57</x:f>
        <x:v>15.156960000000002</x:v>
      </x:c>
      <x:c r="S57" s="50" t="n">
        <x:f>IF(C57="S",Assumptions!$B$25,IF(C57="M",Assumptions!$B$26,IF(C57="L",Assumptions!$B$27,Assumptions!$B$28)))</x:f>
        <x:v>12.5</x:v>
      </x:c>
      <x:c r="T57" s="50" t="n">
        <x:f>ROUNDUP(MAX(S57,R57/(1-Assumptions!$B$6-Assumptions!$B$7))*2,0)/2</x:f>
        <x:v>38</x:v>
      </x:c>
      <x:c r="U57" s="54" t="n">
        <x:f>Assumptions!$B$5</x:f>
        <x:v>0.19</x:v>
      </x:c>
      <x:c r="V57" s="50" t="n">
        <x:f>T57*(1+U57)</x:f>
        <x:v>45.22</x:v>
      </x:c>
      <x:c r="W57" s="50" t="n">
        <x:f>T57*Assumptions!$B$6</x:f>
        <x:v>1.9000000000000001</x:v>
      </x:c>
      <x:c r="X57" s="50" t="n">
        <x:f>T57-R57-W57</x:f>
        <x:v>20.94304</x:v>
      </x:c>
      <x:c r="Y57" s="54" t="n">
        <x:f>IFERROR(X57/T57,0)</x:f>
        <x:v>0.5511326315789473</x:v>
      </x:c>
      <x:c r="Z57" s="50" t="n">
        <x:v>8.9</x:v>
      </x:c>
      <x:c r="AA57" s="46" t="str"/>
    </x:row>
    <x:row r="58" ht="28" customHeight="1">
      <x:c r="A58" s="46" t="str">
        <x:v>SKU-057</x:v>
      </x:c>
      <x:c r="B58" s="46" t="str">
        <x:v>Magnet-free desk slider fidget</x:v>
      </x:c>
      <x:c r="C58" s="46" t="str">
        <x:v>S</x:v>
      </x:c>
      <x:c r="D58" s="46" t="str">
        <x:v>PETG</x:v>
      </x:c>
      <x:c r="E58" s="48" t="n">
        <x:v>75</x:v>
      </x:c>
      <x:c r="F58" s="48" t="n">
        <x:v>2.2</x:v>
      </x:c>
      <x:c r="G58" s="48" t="n">
        <x:v>9</x:v>
      </x:c>
      <x:c r="H58" s="50" t="n">
        <x:f>IF(C58="S",Assumptions!$B$19,IF(C58="M",Assumptions!$B$20,IF(C58="L",Assumptions!$B$21,Assumptions!$B$22)))</x:f>
        <x:v>0.6</x:v>
      </x:c>
      <x:c r="I58" s="50" t="n">
        <x:v>0</x:v>
      </x:c>
      <x:c r="J58" s="50" t="n">
        <x:f>IF(D58="PLA",Assumptions!$B$31,IF(D58="PETG",Assumptions!$B$32,IF(D58="ASA",Assumptions!$B$33,IF(D58="TPU",Assumptions!$B$34,IF(D58="PC Blend",Assumptions!$B$35,Assumptions!$B$36)))))</x:f>
        <x:v>26</x:v>
      </x:c>
      <x:c r="K58" s="54" t="n">
        <x:f>Assumptions!$B$9</x:f>
        <x:v>0.08</x:v>
      </x:c>
      <x:c r="L58" s="50" t="n">
        <x:f>E58/1000*J58*(1+K58)</x:f>
        <x:v>2.106</x:v>
      </x:c>
      <x:c r="M58" s="46" t="str">
        <x:v>Core</x:v>
      </x:c>
      <x:c r="N58" s="50" t="n">
        <x:f>IF(M58="Core",Assumptions!$B$13,IF(M58="Large",Assumptions!$B$14,IF(M58="Enclosed",Assumptions!$B$15,Assumptions!$B$16)))</x:f>
        <x:v>0.75</x:v>
      </x:c>
      <x:c r="O58" s="50" t="n">
        <x:f>F58*N58</x:f>
        <x:v>1.6500000000000001</x:v>
      </x:c>
      <x:c r="P58" s="50" t="n">
        <x:f>G58/60*Assumptions!$B$8</x:f>
        <x:v>4.8</x:v>
      </x:c>
      <x:c r="Q58" s="50" t="n">
        <x:f>(H58+I58+L58+O58+P58)*Assumptions!$B$10</x:f>
        <x:v>0.4578</x:v>
      </x:c>
      <x:c r="R58" s="50" t="n">
        <x:f>H58+I58+L58+O58+P58+Q58</x:f>
        <x:v>9.6138</x:v>
      </x:c>
      <x:c r="S58" s="50" t="n">
        <x:f>IF(C58="S",Assumptions!$B$25,IF(C58="M",Assumptions!$B$26,IF(C58="L",Assumptions!$B$27,Assumptions!$B$28)))</x:f>
        <x:v>7.5</x:v>
      </x:c>
      <x:c r="T58" s="50" t="n">
        <x:f>ROUNDUP(MAX(S58,R58/(1-Assumptions!$B$6-Assumptions!$B$7))*2,0)/2</x:f>
        <x:v>24.5</x:v>
      </x:c>
      <x:c r="U58" s="54" t="n">
        <x:f>Assumptions!$B$5</x:f>
        <x:v>0.19</x:v>
      </x:c>
      <x:c r="V58" s="50" t="n">
        <x:f>T58*(1+U58)</x:f>
        <x:v>29.154999999999998</x:v>
      </x:c>
      <x:c r="W58" s="50" t="n">
        <x:f>T58*Assumptions!$B$6</x:f>
        <x:v>1.225</x:v>
      </x:c>
      <x:c r="X58" s="50" t="n">
        <x:f>T58-R58-W58</x:f>
        <x:v>13.661200000000001</x:v>
      </x:c>
      <x:c r="Y58" s="54" t="n">
        <x:f>IFERROR(X58/T58,0)</x:f>
        <x:v>0.5576</x:v>
      </x:c>
      <x:c r="Z58" s="50" t="n">
        <x:v>6.9</x:v>
      </x:c>
      <x:c r="AA58" s="46" t="str"/>
    </x:row>
    <x:row r="59" ht="28" customHeight="1">
      <x:c r="A59" s="46" t="str">
        <x:v>SKU-058</x:v>
      </x:c>
      <x:c r="B59" s="46" t="str">
        <x:v>Remote-control grip sleeve</x:v>
      </x:c>
      <x:c r="C59" s="46" t="str">
        <x:v>M</x:v>
      </x:c>
      <x:c r="D59" s="46" t="str">
        <x:v>TPU</x:v>
      </x:c>
      <x:c r="E59" s="48" t="n">
        <x:v>72</x:v>
      </x:c>
      <x:c r="F59" s="48" t="n">
        <x:v>3.6</x:v>
      </x:c>
      <x:c r="G59" s="48" t="n">
        <x:v>10</x:v>
      </x:c>
      <x:c r="H59" s="50" t="n">
        <x:f>IF(C59="S",Assumptions!$B$19,IF(C59="M",Assumptions!$B$20,IF(C59="L",Assumptions!$B$21,Assumptions!$B$22)))</x:f>
        <x:v>1</x:v>
      </x:c>
      <x:c r="I59" s="50" t="n">
        <x:v>0</x:v>
      </x:c>
      <x:c r="J59" s="50" t="n">
        <x:f>IF(D59="PLA",Assumptions!$B$31,IF(D59="PETG",Assumptions!$B$32,IF(D59="ASA",Assumptions!$B$33,IF(D59="TPU",Assumptions!$B$34,IF(D59="PC Blend",Assumptions!$B$35,Assumptions!$B$36)))))</x:f>
        <x:v>35</x:v>
      </x:c>
      <x:c r="K59" s="54" t="n">
        <x:f>Assumptions!$B$9</x:f>
        <x:v>0.08</x:v>
      </x:c>
      <x:c r="L59" s="50" t="n">
        <x:f>E59/1000*J59*(1+K59)</x:f>
        <x:v>2.7216</x:v>
      </x:c>
      <x:c r="M59" s="46" t="str">
        <x:v>Flexible</x:v>
      </x:c>
      <x:c r="N59" s="50" t="n">
        <x:f>IF(M59="Core",Assumptions!$B$13,IF(M59="Large",Assumptions!$B$14,IF(M59="Enclosed",Assumptions!$B$15,Assumptions!$B$16)))</x:f>
        <x:v>0.85</x:v>
      </x:c>
      <x:c r="O59" s="50" t="n">
        <x:f>F59*N59</x:f>
        <x:v>3.06</x:v>
      </x:c>
      <x:c r="P59" s="50" t="n">
        <x:f>G59/60*Assumptions!$B$8</x:f>
        <x:v>5.333333333333333</x:v>
      </x:c>
      <x:c r="Q59" s="50" t="n">
        <x:f>(H59+I59+L59+O59+P59)*Assumptions!$B$10</x:f>
        <x:v>0.6057466666666667</x:v>
      </x:c>
      <x:c r="R59" s="50" t="n">
        <x:f>H59+I59+L59+O59+P59+Q59</x:f>
        <x:v>12.72068</x:v>
      </x:c>
      <x:c r="S59" s="50" t="n">
        <x:f>IF(C59="S",Assumptions!$B$25,IF(C59="M",Assumptions!$B$26,IF(C59="L",Assumptions!$B$27,Assumptions!$B$28)))</x:f>
        <x:v>12.5</x:v>
      </x:c>
      <x:c r="T59" s="50" t="n">
        <x:f>ROUNDUP(MAX(S59,R59/(1-Assumptions!$B$6-Assumptions!$B$7))*2,0)/2</x:f>
        <x:v>32</x:v>
      </x:c>
      <x:c r="U59" s="54" t="n">
        <x:f>Assumptions!$B$5</x:f>
        <x:v>0.19</x:v>
      </x:c>
      <x:c r="V59" s="50" t="n">
        <x:f>T59*(1+U59)</x:f>
        <x:v>38.08</x:v>
      </x:c>
      <x:c r="W59" s="50" t="n">
        <x:f>T59*Assumptions!$B$6</x:f>
        <x:v>1.6</x:v>
      </x:c>
      <x:c r="X59" s="50" t="n">
        <x:f>T59-R59-W59</x:f>
        <x:v>17.679319999999997</x:v>
      </x:c>
      <x:c r="Y59" s="54" t="n">
        <x:f>IFERROR(X59/T59,0)</x:f>
        <x:v>0.5524787499999999</x:v>
      </x:c>
      <x:c r="Z59" s="50" t="n">
        <x:v>8.9</x:v>
      </x:c>
      <x:c r="AA59" s="46" t="str"/>
    </x:row>
    <x:row r="60" ht="28" customHeight="1">
      <x:c r="A60" s="46" t="str">
        <x:v>SKU-059</x:v>
      </x:c>
      <x:c r="B60" s="46" t="str">
        <x:v>Modular centerpiece vessel set</x:v>
      </x:c>
      <x:c r="C60" s="46" t="str">
        <x:v>M</x:v>
      </x:c>
      <x:c r="D60" s="46" t="str">
        <x:v>PLA</x:v>
      </x:c>
      <x:c r="E60" s="48" t="n">
        <x:v>680</x:v>
      </x:c>
      <x:c r="F60" s="48" t="n">
        <x:v>14.5</x:v>
      </x:c>
      <x:c r="G60" s="48" t="n">
        <x:v>18</x:v>
      </x:c>
      <x:c r="H60" s="50" t="n">
        <x:f>IF(C60="S",Assumptions!$B$19,IF(C60="M",Assumptions!$B$20,IF(C60="L",Assumptions!$B$21,Assumptions!$B$22)))</x:f>
        <x:v>1</x:v>
      </x:c>
      <x:c r="I60" s="50" t="n">
        <x:v>0</x:v>
      </x:c>
      <x:c r="J60" s="50" t="n">
        <x:f>IF(D60="PLA",Assumptions!$B$31,IF(D60="PETG",Assumptions!$B$32,IF(D60="ASA",Assumptions!$B$33,IF(D60="TPU",Assumptions!$B$34,IF(D60="PC Blend",Assumptions!$B$35,Assumptions!$B$36)))))</x:f>
        <x:v>22</x:v>
      </x:c>
      <x:c r="K60" s="54" t="n">
        <x:f>Assumptions!$B$9</x:f>
        <x:v>0.08</x:v>
      </x:c>
      <x:c r="L60" s="50" t="n">
        <x:f>E60/1000*J60*(1+K60)</x:f>
        <x:v>16.1568</x:v>
      </x:c>
      <x:c r="M60" s="46" t="str">
        <x:v>Core</x:v>
      </x:c>
      <x:c r="N60" s="50" t="n">
        <x:f>IF(M60="Core",Assumptions!$B$13,IF(M60="Large",Assumptions!$B$14,IF(M60="Enclosed",Assumptions!$B$15,Assumptions!$B$16)))</x:f>
        <x:v>0.75</x:v>
      </x:c>
      <x:c r="O60" s="50" t="n">
        <x:f>F60*N60</x:f>
        <x:v>10.875</x:v>
      </x:c>
      <x:c r="P60" s="50" t="n">
        <x:f>G60/60*Assumptions!$B$8</x:f>
        <x:v>9.6</x:v>
      </x:c>
      <x:c r="Q60" s="50" t="n">
        <x:f>(H60+I60+L60+O60+P60)*Assumptions!$B$10</x:f>
        <x:v>1.88159</x:v>
      </x:c>
      <x:c r="R60" s="50" t="n">
        <x:f>H60+I60+L60+O60+P60+Q60</x:f>
        <x:v>39.51339</x:v>
      </x:c>
      <x:c r="S60" s="50" t="n">
        <x:f>IF(C60="S",Assumptions!$B$25,IF(C60="M",Assumptions!$B$26,IF(C60="L",Assumptions!$B$27,Assumptions!$B$28)))</x:f>
        <x:v>12.5</x:v>
      </x:c>
      <x:c r="T60" s="50" t="n">
        <x:f>ROUNDUP(MAX(S60,R60/(1-Assumptions!$B$6-Assumptions!$B$7))*2,0)/2</x:f>
        <x:v>99</x:v>
      </x:c>
      <x:c r="U60" s="54" t="n">
        <x:f>Assumptions!$B$5</x:f>
        <x:v>0.19</x:v>
      </x:c>
      <x:c r="V60" s="50" t="n">
        <x:f>T60*(1+U60)</x:f>
        <x:v>117.80999999999999</x:v>
      </x:c>
      <x:c r="W60" s="50" t="n">
        <x:f>T60*Assumptions!$B$6</x:f>
        <x:v>4.95</x:v>
      </x:c>
      <x:c r="X60" s="50" t="n">
        <x:f>T60-R60-W60</x:f>
        <x:v>54.536609999999996</x:v>
      </x:c>
      <x:c r="Y60" s="54" t="n">
        <x:f>IFERROR(X60/T60,0)</x:f>
        <x:v>0.5508748484848485</x:v>
      </x:c>
      <x:c r="Z60" s="50" t="n">
        <x:v>14.9</x:v>
      </x:c>
      <x:c r="AA60" s="46" t="str"/>
    </x:row>
    <x:row r="61" ht="28" customHeight="1">
      <x:c r="A61" s="46" t="str">
        <x:v>SKU-060</x:v>
      </x:c>
      <x:c r="B61" s="46" t="str">
        <x:v>E-reader corner-bumper case</x:v>
      </x:c>
      <x:c r="C61" s="46" t="str">
        <x:v>M</x:v>
      </x:c>
      <x:c r="D61" s="46" t="str">
        <x:v>TPU</x:v>
      </x:c>
      <x:c r="E61" s="48" t="n">
        <x:v>125</x:v>
      </x:c>
      <x:c r="F61" s="48" t="n">
        <x:v>5.1</x:v>
      </x:c>
      <x:c r="G61" s="48" t="n">
        <x:v>12</x:v>
      </x:c>
      <x:c r="H61" s="50" t="n">
        <x:f>IF(C61="S",Assumptions!$B$19,IF(C61="M",Assumptions!$B$20,IF(C61="L",Assumptions!$B$21,Assumptions!$B$22)))</x:f>
        <x:v>1</x:v>
      </x:c>
      <x:c r="I61" s="50" t="n">
        <x:v>0</x:v>
      </x:c>
      <x:c r="J61" s="50" t="n">
        <x:f>IF(D61="PLA",Assumptions!$B$31,IF(D61="PETG",Assumptions!$B$32,IF(D61="ASA",Assumptions!$B$33,IF(D61="TPU",Assumptions!$B$34,IF(D61="PC Blend",Assumptions!$B$35,Assumptions!$B$36)))))</x:f>
        <x:v>35</x:v>
      </x:c>
      <x:c r="K61" s="54" t="n">
        <x:f>Assumptions!$B$9</x:f>
        <x:v>0.08</x:v>
      </x:c>
      <x:c r="L61" s="50" t="n">
        <x:f>E61/1000*J61*(1+K61)</x:f>
        <x:v>4.7250000000000005</x:v>
      </x:c>
      <x:c r="M61" s="46" t="str">
        <x:v>Flexible</x:v>
      </x:c>
      <x:c r="N61" s="50" t="n">
        <x:f>IF(M61="Core",Assumptions!$B$13,IF(M61="Large",Assumptions!$B$14,IF(M61="Enclosed",Assumptions!$B$15,Assumptions!$B$16)))</x:f>
        <x:v>0.85</x:v>
      </x:c>
      <x:c r="O61" s="50" t="n">
        <x:f>F61*N61</x:f>
        <x:v>4.335</x:v>
      </x:c>
      <x:c r="P61" s="50" t="n">
        <x:f>G61/60*Assumptions!$B$8</x:f>
        <x:v>6.4</x:v>
      </x:c>
      <x:c r="Q61" s="50" t="n">
        <x:f>(H61+I61+L61+O61+P61)*Assumptions!$B$10</x:f>
        <x:v>0.8230000000000001</x:v>
      </x:c>
      <x:c r="R61" s="50" t="n">
        <x:f>H61+I61+L61+O61+P61+Q61</x:f>
        <x:v>17.283</x:v>
      </x:c>
      <x:c r="S61" s="50" t="n">
        <x:f>IF(C61="S",Assumptions!$B$25,IF(C61="M",Assumptions!$B$26,IF(C61="L",Assumptions!$B$27,Assumptions!$B$28)))</x:f>
        <x:v>12.5</x:v>
      </x:c>
      <x:c r="T61" s="50" t="n">
        <x:f>ROUNDUP(MAX(S61,R61/(1-Assumptions!$B$6-Assumptions!$B$7))*2,0)/2</x:f>
        <x:v>43.5</x:v>
      </x:c>
      <x:c r="U61" s="54" t="n">
        <x:f>Assumptions!$B$5</x:f>
        <x:v>0.19</x:v>
      </x:c>
      <x:c r="V61" s="50" t="n">
        <x:f>T61*(1+U61)</x:f>
        <x:v>51.765</x:v>
      </x:c>
      <x:c r="W61" s="50" t="n">
        <x:f>T61*Assumptions!$B$6</x:f>
        <x:v>2.1750000000000003</x:v>
      </x:c>
      <x:c r="X61" s="50" t="n">
        <x:f>T61-R61-W61</x:f>
        <x:v>24.041999999999998</x:v>
      </x:c>
      <x:c r="Y61" s="54" t="n">
        <x:f>IFERROR(X61/T61,0)</x:f>
        <x:v>0.5526896551724138</x:v>
      </x:c>
      <x:c r="Z61" s="50" t="n">
        <x:v>11.9</x:v>
      </x:c>
      <x:c r="AA61" s="46" t="str"/>
    </x:row>
    <x:row r="62" ht="28" customHeight="1">
      <x:c r="A62" s="46" t="str">
        <x:v>SKU-061</x:v>
      </x:c>
      <x:c r="B62" s="46" t="str">
        <x:v>Headset and controller combo tower</x:v>
      </x:c>
      <x:c r="C62" s="46" t="str">
        <x:v>M</x:v>
      </x:c>
      <x:c r="D62" s="46" t="str">
        <x:v>PETG</x:v>
      </x:c>
      <x:c r="E62" s="48" t="n">
        <x:v>680</x:v>
      </x:c>
      <x:c r="F62" s="48" t="n">
        <x:v>15</x:v>
      </x:c>
      <x:c r="G62" s="48" t="n">
        <x:v>18</x:v>
      </x:c>
      <x:c r="H62" s="50" t="n">
        <x:f>IF(C62="S",Assumptions!$B$19,IF(C62="M",Assumptions!$B$20,IF(C62="L",Assumptions!$B$21,Assumptions!$B$22)))</x:f>
        <x:v>1</x:v>
      </x:c>
      <x:c r="I62" s="50" t="n">
        <x:v>0</x:v>
      </x:c>
      <x:c r="J62" s="50" t="n">
        <x:f>IF(D62="PLA",Assumptions!$B$31,IF(D62="PETG",Assumptions!$B$32,IF(D62="ASA",Assumptions!$B$33,IF(D62="TPU",Assumptions!$B$34,IF(D62="PC Blend",Assumptions!$B$35,Assumptions!$B$36)))))</x:f>
        <x:v>26</x:v>
      </x:c>
      <x:c r="K62" s="54" t="n">
        <x:f>Assumptions!$B$9</x:f>
        <x:v>0.08</x:v>
      </x:c>
      <x:c r="L62" s="50" t="n">
        <x:f>E62/1000*J62*(1+K62)</x:f>
        <x:v>19.0944</x:v>
      </x:c>
      <x:c r="M62" s="46" t="str">
        <x:v>Core</x:v>
      </x:c>
      <x:c r="N62" s="50" t="n">
        <x:f>IF(M62="Core",Assumptions!$B$13,IF(M62="Large",Assumptions!$B$14,IF(M62="Enclosed",Assumptions!$B$15,Assumptions!$B$16)))</x:f>
        <x:v>0.75</x:v>
      </x:c>
      <x:c r="O62" s="50" t="n">
        <x:f>F62*N62</x:f>
        <x:v>11.25</x:v>
      </x:c>
      <x:c r="P62" s="50" t="n">
        <x:f>G62/60*Assumptions!$B$8</x:f>
        <x:v>9.6</x:v>
      </x:c>
      <x:c r="Q62" s="50" t="n">
        <x:f>(H62+I62+L62+O62+P62)*Assumptions!$B$10</x:f>
        <x:v>2.0472200000000003</x:v>
      </x:c>
      <x:c r="R62" s="50" t="n">
        <x:f>H62+I62+L62+O62+P62+Q62</x:f>
        <x:v>42.991620000000005</x:v>
      </x:c>
      <x:c r="S62" s="50" t="n">
        <x:f>IF(C62="S",Assumptions!$B$25,IF(C62="M",Assumptions!$B$26,IF(C62="L",Assumptions!$B$27,Assumptions!$B$28)))</x:f>
        <x:v>12.5</x:v>
      </x:c>
      <x:c r="T62" s="50" t="n">
        <x:f>ROUNDUP(MAX(S62,R62/(1-Assumptions!$B$6-Assumptions!$B$7))*2,0)/2</x:f>
        <x:v>107.5</x:v>
      </x:c>
      <x:c r="U62" s="54" t="n">
        <x:f>Assumptions!$B$5</x:f>
        <x:v>0.19</x:v>
      </x:c>
      <x:c r="V62" s="50" t="n">
        <x:f>T62*(1+U62)</x:f>
        <x:v>127.925</x:v>
      </x:c>
      <x:c r="W62" s="50" t="n">
        <x:f>T62*Assumptions!$B$6</x:f>
        <x:v>5.375</x:v>
      </x:c>
      <x:c r="X62" s="50" t="n">
        <x:f>T62-R62-W62</x:f>
        <x:v>59.13337999999999</x:v>
      </x:c>
      <x:c r="Y62" s="54" t="n">
        <x:f>IFERROR(X62/T62,0)</x:f>
        <x:v>0.550077953488372</x:v>
      </x:c>
      <x:c r="Z62" s="50" t="n">
        <x:v>14.9</x:v>
      </x:c>
      <x:c r="AA62" s="46" t="str"/>
    </x:row>
    <x:row r="63" ht="28" customHeight="1">
      <x:c r="A63" s="46" t="str">
        <x:v>SKU-062</x:v>
      </x:c>
      <x:c r="B63" s="46" t="str">
        <x:v>VR headset and controller cradle</x:v>
      </x:c>
      <x:c r="C63" s="46" t="str">
        <x:v>M</x:v>
      </x:c>
      <x:c r="D63" s="46" t="str">
        <x:v>PETG</x:v>
      </x:c>
      <x:c r="E63" s="48" t="n">
        <x:v>720</x:v>
      </x:c>
      <x:c r="F63" s="48" t="n">
        <x:v>16</x:v>
      </x:c>
      <x:c r="G63" s="48" t="n">
        <x:v>20</x:v>
      </x:c>
      <x:c r="H63" s="50" t="n">
        <x:f>IF(C63="S",Assumptions!$B$19,IF(C63="M",Assumptions!$B$20,IF(C63="L",Assumptions!$B$21,Assumptions!$B$22)))</x:f>
        <x:v>1</x:v>
      </x:c>
      <x:c r="I63" s="50" t="n">
        <x:v>0</x:v>
      </x:c>
      <x:c r="J63" s="50" t="n">
        <x:f>IF(D63="PLA",Assumptions!$B$31,IF(D63="PETG",Assumptions!$B$32,IF(D63="ASA",Assumptions!$B$33,IF(D63="TPU",Assumptions!$B$34,IF(D63="PC Blend",Assumptions!$B$35,Assumptions!$B$36)))))</x:f>
        <x:v>26</x:v>
      </x:c>
      <x:c r="K63" s="54" t="n">
        <x:f>Assumptions!$B$9</x:f>
        <x:v>0.08</x:v>
      </x:c>
      <x:c r="L63" s="50" t="n">
        <x:f>E63/1000*J63*(1+K63)</x:f>
        <x:v>20.2176</x:v>
      </x:c>
      <x:c r="M63" s="46" t="str">
        <x:v>Core</x:v>
      </x:c>
      <x:c r="N63" s="50" t="n">
        <x:f>IF(M63="Core",Assumptions!$B$13,IF(M63="Large",Assumptions!$B$14,IF(M63="Enclosed",Assumptions!$B$15,Assumptions!$B$16)))</x:f>
        <x:v>0.75</x:v>
      </x:c>
      <x:c r="O63" s="50" t="n">
        <x:f>F63*N63</x:f>
        <x:v>12</x:v>
      </x:c>
      <x:c r="P63" s="50" t="n">
        <x:f>G63/60*Assumptions!$B$8</x:f>
        <x:v>10.666666666666666</x:v>
      </x:c>
      <x:c r="Q63" s="50" t="n">
        <x:f>(H63+I63+L63+O63+P63)*Assumptions!$B$10</x:f>
        <x:v>2.1942133333333333</x:v>
      </x:c>
      <x:c r="R63" s="50" t="n">
        <x:f>H63+I63+L63+O63+P63+Q63</x:f>
        <x:v>46.07848</x:v>
      </x:c>
      <x:c r="S63" s="50" t="n">
        <x:f>IF(C63="S",Assumptions!$B$25,IF(C63="M",Assumptions!$B$26,IF(C63="L",Assumptions!$B$27,Assumptions!$B$28)))</x:f>
        <x:v>12.5</x:v>
      </x:c>
      <x:c r="T63" s="50" t="n">
        <x:f>ROUNDUP(MAX(S63,R63/(1-Assumptions!$B$6-Assumptions!$B$7))*2,0)/2</x:f>
        <x:v>115.5</x:v>
      </x:c>
      <x:c r="U63" s="54" t="n">
        <x:f>Assumptions!$B$5</x:f>
        <x:v>0.19</x:v>
      </x:c>
      <x:c r="V63" s="50" t="n">
        <x:f>T63*(1+U63)</x:f>
        <x:v>137.445</x:v>
      </x:c>
      <x:c r="W63" s="50" t="n">
        <x:f>T63*Assumptions!$B$6</x:f>
        <x:v>5.775</x:v>
      </x:c>
      <x:c r="X63" s="50" t="n">
        <x:f>T63-R63-W63</x:f>
        <x:v>63.64652</x:v>
      </x:c>
      <x:c r="Y63" s="54" t="n">
        <x:f>IFERROR(X63/T63,0)</x:f>
        <x:v>0.5510521212121212</x:v>
      </x:c>
      <x:c r="Z63" s="50" t="n">
        <x:v>14.9</x:v>
      </x:c>
      <x:c r="AA63" s="46" t="str"/>
    </x:row>
    <x:row r="64" ht="28" customHeight="1">
      <x:c r="A64" s="46" t="str">
        <x:v>SKU-063</x:v>
      </x:c>
      <x:c r="B64" s="46" t="str">
        <x:v>Outdoor house-number plaque</x:v>
      </x:c>
      <x:c r="C64" s="46" t="str">
        <x:v>M</x:v>
      </x:c>
      <x:c r="D64" s="46" t="str">
        <x:v>ASA</x:v>
      </x:c>
      <x:c r="E64" s="48" t="n">
        <x:v>190</x:v>
      </x:c>
      <x:c r="F64" s="48" t="n">
        <x:v>4.5</x:v>
      </x:c>
      <x:c r="G64" s="48" t="n">
        <x:v>14</x:v>
      </x:c>
      <x:c r="H64" s="50" t="n">
        <x:f>IF(C64="S",Assumptions!$B$19,IF(C64="M",Assumptions!$B$20,IF(C64="L",Assumptions!$B$21,Assumptions!$B$22)))</x:f>
        <x:v>1</x:v>
      </x:c>
      <x:c r="I64" s="50" t="n">
        <x:v>0</x:v>
      </x:c>
      <x:c r="J64" s="50" t="n">
        <x:f>IF(D64="PLA",Assumptions!$B$31,IF(D64="PETG",Assumptions!$B$32,IF(D64="ASA",Assumptions!$B$33,IF(D64="TPU",Assumptions!$B$34,IF(D64="PC Blend",Assumptions!$B$35,Assumptions!$B$36)))))</x:f>
        <x:v>32</x:v>
      </x:c>
      <x:c r="K64" s="54" t="n">
        <x:f>Assumptions!$B$9</x:f>
        <x:v>0.08</x:v>
      </x:c>
      <x:c r="L64" s="50" t="n">
        <x:f>E64/1000*J64*(1+K64)</x:f>
        <x:v>6.566400000000001</x:v>
      </x:c>
      <x:c r="M64" s="46" t="str">
        <x:v>Enclosed</x:v>
      </x:c>
      <x:c r="N64" s="50" t="n">
        <x:f>IF(M64="Core",Assumptions!$B$13,IF(M64="Large",Assumptions!$B$14,IF(M64="Enclosed",Assumptions!$B$15,Assumptions!$B$16)))</x:f>
        <x:v>0.95</x:v>
      </x:c>
      <x:c r="O64" s="50" t="n">
        <x:f>F64*N64</x:f>
        <x:v>4.2749999999999995</x:v>
      </x:c>
      <x:c r="P64" s="50" t="n">
        <x:f>G64/60*Assumptions!$B$8</x:f>
        <x:v>7.466666666666667</x:v>
      </x:c>
      <x:c r="Q64" s="50" t="n">
        <x:f>(H64+I64+L64+O64+P64)*Assumptions!$B$10</x:f>
        <x:v>0.9654033333333335</x:v>
      </x:c>
      <x:c r="R64" s="50" t="n">
        <x:f>H64+I64+L64+O64+P64+Q64</x:f>
        <x:v>20.273470000000003</x:v>
      </x:c>
      <x:c r="S64" s="50" t="n">
        <x:f>IF(C64="S",Assumptions!$B$25,IF(C64="M",Assumptions!$B$26,IF(C64="L",Assumptions!$B$27,Assumptions!$B$28)))</x:f>
        <x:v>12.5</x:v>
      </x:c>
      <x:c r="T64" s="50" t="n">
        <x:f>ROUNDUP(MAX(S64,R64/(1-Assumptions!$B$6-Assumptions!$B$7))*2,0)/2</x:f>
        <x:v>51</x:v>
      </x:c>
      <x:c r="U64" s="54" t="n">
        <x:f>Assumptions!$B$5</x:f>
        <x:v>0.19</x:v>
      </x:c>
      <x:c r="V64" s="50" t="n">
        <x:f>T64*(1+U64)</x:f>
        <x:v>60.69</x:v>
      </x:c>
      <x:c r="W64" s="50" t="n">
        <x:f>T64*Assumptions!$B$6</x:f>
        <x:v>2.5500000000000003</x:v>
      </x:c>
      <x:c r="X64" s="50" t="n">
        <x:f>T64-R64-W64</x:f>
        <x:v>28.176529999999996</x:v>
      </x:c>
      <x:c r="Y64" s="54" t="n">
        <x:f>IFERROR(X64/T64,0)</x:f>
        <x:v>0.5524809803921568</x:v>
      </x:c>
      <x:c r="Z64" s="50" t="n">
        <x:v>12.9</x:v>
      </x:c>
      <x:c r="AA64" s="46" t="str"/>
    </x:row>
    <x:row r="65" ht="28" customHeight="1">
      <x:c r="A65" s="46" t="str">
        <x:v>SKU-064</x:v>
      </x:c>
      <x:c r="B65" s="46" t="str">
        <x:v>Rotating vanity caddy with standard bearing</x:v>
      </x:c>
      <x:c r="C65" s="46" t="str">
        <x:v>M</x:v>
      </x:c>
      <x:c r="D65" s="46" t="str">
        <x:v>PETG</x:v>
      </x:c>
      <x:c r="E65" s="48" t="n">
        <x:v>680</x:v>
      </x:c>
      <x:c r="F65" s="48" t="n">
        <x:v>15.5</x:v>
      </x:c>
      <x:c r="G65" s="48" t="n">
        <x:v>20</x:v>
      </x:c>
      <x:c r="H65" s="50" t="n">
        <x:f>IF(C65="S",Assumptions!$B$19,IF(C65="M",Assumptions!$B$20,IF(C65="L",Assumptions!$B$21,Assumptions!$B$22)))</x:f>
        <x:v>1</x:v>
      </x:c>
      <x:c r="I65" s="50" t="n">
        <x:v>0</x:v>
      </x:c>
      <x:c r="J65" s="50" t="n">
        <x:f>IF(D65="PLA",Assumptions!$B$31,IF(D65="PETG",Assumptions!$B$32,IF(D65="ASA",Assumptions!$B$33,IF(D65="TPU",Assumptions!$B$34,IF(D65="PC Blend",Assumptions!$B$35,Assumptions!$B$36)))))</x:f>
        <x:v>26</x:v>
      </x:c>
      <x:c r="K65" s="54" t="n">
        <x:f>Assumptions!$B$9</x:f>
        <x:v>0.08</x:v>
      </x:c>
      <x:c r="L65" s="50" t="n">
        <x:f>E65/1000*J65*(1+K65)</x:f>
        <x:v>19.0944</x:v>
      </x:c>
      <x:c r="M65" s="46" t="str">
        <x:v>Core</x:v>
      </x:c>
      <x:c r="N65" s="50" t="n">
        <x:f>IF(M65="Core",Assumptions!$B$13,IF(M65="Large",Assumptions!$B$14,IF(M65="Enclosed",Assumptions!$B$15,Assumptions!$B$16)))</x:f>
        <x:v>0.75</x:v>
      </x:c>
      <x:c r="O65" s="50" t="n">
        <x:f>F65*N65</x:f>
        <x:v>11.625</x:v>
      </x:c>
      <x:c r="P65" s="50" t="n">
        <x:f>G65/60*Assumptions!$B$8</x:f>
        <x:v>10.666666666666666</x:v>
      </x:c>
      <x:c r="Q65" s="50" t="n">
        <x:f>(H65+I65+L65+O65+P65)*Assumptions!$B$10</x:f>
        <x:v>2.1193033333333333</x:v>
      </x:c>
      <x:c r="R65" s="50" t="n">
        <x:f>H65+I65+L65+O65+P65+Q65</x:f>
        <x:v>44.50537</x:v>
      </x:c>
      <x:c r="S65" s="50" t="n">
        <x:f>IF(C65="S",Assumptions!$B$25,IF(C65="M",Assumptions!$B$26,IF(C65="L",Assumptions!$B$27,Assumptions!$B$28)))</x:f>
        <x:v>12.5</x:v>
      </x:c>
      <x:c r="T65" s="50" t="n">
        <x:f>ROUNDUP(MAX(S65,R65/(1-Assumptions!$B$6-Assumptions!$B$7))*2,0)/2</x:f>
        <x:v>111.5</x:v>
      </x:c>
      <x:c r="U65" s="54" t="n">
        <x:f>Assumptions!$B$5</x:f>
        <x:v>0.19</x:v>
      </x:c>
      <x:c r="V65" s="50" t="n">
        <x:f>T65*(1+U65)</x:f>
        <x:v>132.685</x:v>
      </x:c>
      <x:c r="W65" s="50" t="n">
        <x:f>T65*Assumptions!$B$6</x:f>
        <x:v>5.575</x:v>
      </x:c>
      <x:c r="X65" s="50" t="n">
        <x:f>T65-R65-W65</x:f>
        <x:v>61.41963</x:v>
      </x:c>
      <x:c r="Y65" s="54" t="n">
        <x:f>IFERROR(X65/T65,0)</x:f>
        <x:v>0.5508486995515695</x:v>
      </x:c>
      <x:c r="Z65" s="50" t="n">
        <x:v>14.9</x:v>
      </x:c>
      <x:c r="AA65" s="46" t="str"/>
    </x:row>
    <x:row r="66" ht="28" customHeight="1">
      <x:c r="A66" s="46" t="str">
        <x:v>SKU-065</x:v>
      </x:c>
      <x:c r="B66" s="46" t="str">
        <x:v>LED-tealight lantern shell</x:v>
      </x:c>
      <x:c r="C66" s="46" t="str">
        <x:v>M</x:v>
      </x:c>
      <x:c r="D66" s="46" t="str">
        <x:v>PETG</x:v>
      </x:c>
      <x:c r="E66" s="48" t="n">
        <x:v>290</x:v>
      </x:c>
      <x:c r="F66" s="48" t="n">
        <x:v>6.5</x:v>
      </x:c>
      <x:c r="G66" s="48" t="n">
        <x:v>14</x:v>
      </x:c>
      <x:c r="H66" s="50" t="n">
        <x:f>IF(C66="S",Assumptions!$B$19,IF(C66="M",Assumptions!$B$20,IF(C66="L",Assumptions!$B$21,Assumptions!$B$22)))</x:f>
        <x:v>1</x:v>
      </x:c>
      <x:c r="I66" s="50" t="n">
        <x:v>0</x:v>
      </x:c>
      <x:c r="J66" s="50" t="n">
        <x:f>IF(D66="PLA",Assumptions!$B$31,IF(D66="PETG",Assumptions!$B$32,IF(D66="ASA",Assumptions!$B$33,IF(D66="TPU",Assumptions!$B$34,IF(D66="PC Blend",Assumptions!$B$35,Assumptions!$B$36)))))</x:f>
        <x:v>26</x:v>
      </x:c>
      <x:c r="K66" s="54" t="n">
        <x:f>Assumptions!$B$9</x:f>
        <x:v>0.08</x:v>
      </x:c>
      <x:c r="L66" s="50" t="n">
        <x:f>E66/1000*J66*(1+K66)</x:f>
        <x:v>8.1432</x:v>
      </x:c>
      <x:c r="M66" s="46" t="str">
        <x:v>Core</x:v>
      </x:c>
      <x:c r="N66" s="50" t="n">
        <x:f>IF(M66="Core",Assumptions!$B$13,IF(M66="Large",Assumptions!$B$14,IF(M66="Enclosed",Assumptions!$B$15,Assumptions!$B$16)))</x:f>
        <x:v>0.75</x:v>
      </x:c>
      <x:c r="O66" s="50" t="n">
        <x:f>F66*N66</x:f>
        <x:v>4.875</x:v>
      </x:c>
      <x:c r="P66" s="50" t="n">
        <x:f>G66/60*Assumptions!$B$8</x:f>
        <x:v>7.466666666666667</x:v>
      </x:c>
      <x:c r="Q66" s="50" t="n">
        <x:f>(H66+I66+L66+O66+P66)*Assumptions!$B$10</x:f>
        <x:v>1.0742433333333334</x:v>
      </x:c>
      <x:c r="R66" s="50" t="n">
        <x:f>H66+I66+L66+O66+P66+Q66</x:f>
        <x:v>22.559110000000004</x:v>
      </x:c>
      <x:c r="S66" s="50" t="n">
        <x:f>IF(C66="S",Assumptions!$B$25,IF(C66="M",Assumptions!$B$26,IF(C66="L",Assumptions!$B$27,Assumptions!$B$28)))</x:f>
        <x:v>12.5</x:v>
      </x:c>
      <x:c r="T66" s="50" t="n">
        <x:f>ROUNDUP(MAX(S66,R66/(1-Assumptions!$B$6-Assumptions!$B$7))*2,0)/2</x:f>
        <x:v>56.5</x:v>
      </x:c>
      <x:c r="U66" s="54" t="n">
        <x:f>Assumptions!$B$5</x:f>
        <x:v>0.19</x:v>
      </x:c>
      <x:c r="V66" s="50" t="n">
        <x:f>T66*(1+U66)</x:f>
        <x:v>67.235</x:v>
      </x:c>
      <x:c r="W66" s="50" t="n">
        <x:f>T66*Assumptions!$B$6</x:f>
        <x:v>2.825</x:v>
      </x:c>
      <x:c r="X66" s="50" t="n">
        <x:f>T66-R66-W66</x:f>
        <x:v>31.115889999999997</x:v>
      </x:c>
      <x:c r="Y66" s="54" t="n">
        <x:f>IFERROR(X66/T66,0)</x:f>
        <x:v>0.5507237168141592</x:v>
      </x:c>
      <x:c r="Z66" s="50" t="n">
        <x:v>10.9</x:v>
      </x:c>
      <x:c r="AA66" s="46" t="str"/>
    </x:row>
    <x:row r="67" ht="28" customHeight="1">
      <x:c r="A67" s="46" t="str">
        <x:v>SKU-066</x:v>
      </x:c>
      <x:c r="B67" s="46" t="str">
        <x:v>Parametric pegboard hook pack</x:v>
      </x:c>
      <x:c r="C67" s="46" t="str">
        <x:v>S</x:v>
      </x:c>
      <x:c r="D67" s="46" t="str">
        <x:v>PETG</x:v>
      </x:c>
      <x:c r="E67" s="48" t="n">
        <x:v>170</x:v>
      </x:c>
      <x:c r="F67" s="48" t="n">
        <x:v>4</x:v>
      </x:c>
      <x:c r="G67" s="48" t="n">
        <x:v>12</x:v>
      </x:c>
      <x:c r="H67" s="50" t="n">
        <x:f>IF(C67="S",Assumptions!$B$19,IF(C67="M",Assumptions!$B$20,IF(C67="L",Assumptions!$B$21,Assumptions!$B$22)))</x:f>
        <x:v>0.6</x:v>
      </x:c>
      <x:c r="I67" s="50" t="n">
        <x:v>0</x:v>
      </x:c>
      <x:c r="J67" s="50" t="n">
        <x:f>IF(D67="PLA",Assumptions!$B$31,IF(D67="PETG",Assumptions!$B$32,IF(D67="ASA",Assumptions!$B$33,IF(D67="TPU",Assumptions!$B$34,IF(D67="PC Blend",Assumptions!$B$35,Assumptions!$B$36)))))</x:f>
        <x:v>26</x:v>
      </x:c>
      <x:c r="K67" s="54" t="n">
        <x:f>Assumptions!$B$9</x:f>
        <x:v>0.08</x:v>
      </x:c>
      <x:c r="L67" s="50" t="n">
        <x:f>E67/1000*J67*(1+K67)</x:f>
        <x:v>4.7736</x:v>
      </x:c>
      <x:c r="M67" s="46" t="str">
        <x:v>Core</x:v>
      </x:c>
      <x:c r="N67" s="50" t="n">
        <x:f>IF(M67="Core",Assumptions!$B$13,IF(M67="Large",Assumptions!$B$14,IF(M67="Enclosed",Assumptions!$B$15,Assumptions!$B$16)))</x:f>
        <x:v>0.75</x:v>
      </x:c>
      <x:c r="O67" s="50" t="n">
        <x:f>F67*N67</x:f>
        <x:v>3</x:v>
      </x:c>
      <x:c r="P67" s="50" t="n">
        <x:f>G67/60*Assumptions!$B$8</x:f>
        <x:v>6.4</x:v>
      </x:c>
      <x:c r="Q67" s="50" t="n">
        <x:f>(H67+I67+L67+O67+P67)*Assumptions!$B$10</x:f>
        <x:v>0.73868</x:v>
      </x:c>
      <x:c r="R67" s="50" t="n">
        <x:f>H67+I67+L67+O67+P67+Q67</x:f>
        <x:v>15.51228</x:v>
      </x:c>
      <x:c r="S67" s="50" t="n">
        <x:f>IF(C67="S",Assumptions!$B$25,IF(C67="M",Assumptions!$B$26,IF(C67="L",Assumptions!$B$27,Assumptions!$B$28)))</x:f>
        <x:v>7.5</x:v>
      </x:c>
      <x:c r="T67" s="50" t="n">
        <x:f>ROUNDUP(MAX(S67,R67/(1-Assumptions!$B$6-Assumptions!$B$7))*2,0)/2</x:f>
        <x:v>39</x:v>
      </x:c>
      <x:c r="U67" s="54" t="n">
        <x:f>Assumptions!$B$5</x:f>
        <x:v>0.19</x:v>
      </x:c>
      <x:c r="V67" s="50" t="n">
        <x:f>T67*(1+U67)</x:f>
        <x:v>46.41</x:v>
      </x:c>
      <x:c r="W67" s="50" t="n">
        <x:f>T67*Assumptions!$B$6</x:f>
        <x:v>1.9500000000000002</x:v>
      </x:c>
      <x:c r="X67" s="50" t="n">
        <x:f>T67-R67-W67</x:f>
        <x:v>21.53772</x:v>
      </x:c>
      <x:c r="Y67" s="54" t="n">
        <x:f>IFERROR(X67/T67,0)</x:f>
        <x:v>0.5522492307692308</x:v>
      </x:c>
      <x:c r="Z67" s="50" t="n">
        <x:v>8.9</x:v>
      </x:c>
      <x:c r="AA67" s="46" t="str"/>
    </x:row>
    <x:row r="68" ht="28" customHeight="1">
      <x:c r="A68" s="46" t="str">
        <x:v>SKU-067</x:v>
      </x:c>
      <x:c r="B68" s="46" t="str">
        <x:v>Pegboard small-bin and label module</x:v>
      </x:c>
      <x:c r="C68" s="46" t="str">
        <x:v>M</x:v>
      </x:c>
      <x:c r="D68" s="46" t="str">
        <x:v>PETG</x:v>
      </x:c>
      <x:c r="E68" s="48" t="n">
        <x:v>275</x:v>
      </x:c>
      <x:c r="F68" s="48" t="n">
        <x:v>6.3</x:v>
      </x:c>
      <x:c r="G68" s="48" t="n">
        <x:v>12</x:v>
      </x:c>
      <x:c r="H68" s="50" t="n">
        <x:f>IF(C68="S",Assumptions!$B$19,IF(C68="M",Assumptions!$B$20,IF(C68="L",Assumptions!$B$21,Assumptions!$B$22)))</x:f>
        <x:v>1</x:v>
      </x:c>
      <x:c r="I68" s="50" t="n">
        <x:v>0</x:v>
      </x:c>
      <x:c r="J68" s="50" t="n">
        <x:f>IF(D68="PLA",Assumptions!$B$31,IF(D68="PETG",Assumptions!$B$32,IF(D68="ASA",Assumptions!$B$33,IF(D68="TPU",Assumptions!$B$34,IF(D68="PC Blend",Assumptions!$B$35,Assumptions!$B$36)))))</x:f>
        <x:v>26</x:v>
      </x:c>
      <x:c r="K68" s="54" t="n">
        <x:f>Assumptions!$B$9</x:f>
        <x:v>0.08</x:v>
      </x:c>
      <x:c r="L68" s="50" t="n">
        <x:f>E68/1000*J68*(1+K68)</x:f>
        <x:v>7.722000000000001</x:v>
      </x:c>
      <x:c r="M68" s="46" t="str">
        <x:v>Core</x:v>
      </x:c>
      <x:c r="N68" s="50" t="n">
        <x:f>IF(M68="Core",Assumptions!$B$13,IF(M68="Large",Assumptions!$B$14,IF(M68="Enclosed",Assumptions!$B$15,Assumptions!$B$16)))</x:f>
        <x:v>0.75</x:v>
      </x:c>
      <x:c r="O68" s="50" t="n">
        <x:f>F68*N68</x:f>
        <x:v>4.725</x:v>
      </x:c>
      <x:c r="P68" s="50" t="n">
        <x:f>G68/60*Assumptions!$B$8</x:f>
        <x:v>6.4</x:v>
      </x:c>
      <x:c r="Q68" s="50" t="n">
        <x:f>(H68+I68+L68+O68+P68)*Assumptions!$B$10</x:f>
        <x:v>0.9923500000000001</x:v>
      </x:c>
      <x:c r="R68" s="50" t="n">
        <x:f>H68+I68+L68+O68+P68+Q68</x:f>
        <x:v>20.839350000000003</x:v>
      </x:c>
      <x:c r="S68" s="50" t="n">
        <x:f>IF(C68="S",Assumptions!$B$25,IF(C68="M",Assumptions!$B$26,IF(C68="L",Assumptions!$B$27,Assumptions!$B$28)))</x:f>
        <x:v>12.5</x:v>
      </x:c>
      <x:c r="T68" s="50" t="n">
        <x:f>ROUNDUP(MAX(S68,R68/(1-Assumptions!$B$6-Assumptions!$B$7))*2,0)/2</x:f>
        <x:v>52.5</x:v>
      </x:c>
      <x:c r="U68" s="54" t="n">
        <x:f>Assumptions!$B$5</x:f>
        <x:v>0.19</x:v>
      </x:c>
      <x:c r="V68" s="50" t="n">
        <x:f>T68*(1+U68)</x:f>
        <x:v>62.474999999999994</x:v>
      </x:c>
      <x:c r="W68" s="50" t="n">
        <x:f>T68*Assumptions!$B$6</x:f>
        <x:v>2.625</x:v>
      </x:c>
      <x:c r="X68" s="50" t="n">
        <x:f>T68-R68-W68</x:f>
        <x:v>29.035649999999997</x:v>
      </x:c>
      <x:c r="Y68" s="54" t="n">
        <x:f>IFERROR(X68/T68,0)</x:f>
        <x:v>0.5530599999999999</x:v>
      </x:c>
      <x:c r="Z68" s="50" t="n">
        <x:v>9.9</x:v>
      </x:c>
      <x:c r="AA68" s="46" t="str"/>
    </x:row>
    <x:row r="69" ht="28" customHeight="1">
      <x:c r="A69" s="46" t="str">
        <x:v>SKU-068</x:v>
      </x:c>
      <x:c r="B69" s="46" t="str">
        <x:v>Print-in-place gear fidget</x:v>
      </x:c>
      <x:c r="C69" s="46" t="str">
        <x:v>S</x:v>
      </x:c>
      <x:c r="D69" s="46" t="str">
        <x:v>PLA</x:v>
      </x:c>
      <x:c r="E69" s="48" t="n">
        <x:v>55</x:v>
      </x:c>
      <x:c r="F69" s="48" t="n">
        <x:v>1.7</x:v>
      </x:c>
      <x:c r="G69" s="48" t="n">
        <x:v>8</x:v>
      </x:c>
      <x:c r="H69" s="50" t="n">
        <x:f>IF(C69="S",Assumptions!$B$19,IF(C69="M",Assumptions!$B$20,IF(C69="L",Assumptions!$B$21,Assumptions!$B$22)))</x:f>
        <x:v>0.6</x:v>
      </x:c>
      <x:c r="I69" s="50" t="n">
        <x:v>0</x:v>
      </x:c>
      <x:c r="J69" s="50" t="n">
        <x:f>IF(D69="PLA",Assumptions!$B$31,IF(D69="PETG",Assumptions!$B$32,IF(D69="ASA",Assumptions!$B$33,IF(D69="TPU",Assumptions!$B$34,IF(D69="PC Blend",Assumptions!$B$35,Assumptions!$B$36)))))</x:f>
        <x:v>22</x:v>
      </x:c>
      <x:c r="K69" s="54" t="n">
        <x:f>Assumptions!$B$9</x:f>
        <x:v>0.08</x:v>
      </x:c>
      <x:c r="L69" s="50" t="n">
        <x:f>E69/1000*J69*(1+K69)</x:f>
        <x:v>1.3068</x:v>
      </x:c>
      <x:c r="M69" s="46" t="str">
        <x:v>Core</x:v>
      </x:c>
      <x:c r="N69" s="50" t="n">
        <x:f>IF(M69="Core",Assumptions!$B$13,IF(M69="Large",Assumptions!$B$14,IF(M69="Enclosed",Assumptions!$B$15,Assumptions!$B$16)))</x:f>
        <x:v>0.75</x:v>
      </x:c>
      <x:c r="O69" s="50" t="n">
        <x:f>F69*N69</x:f>
        <x:v>1.275</x:v>
      </x:c>
      <x:c r="P69" s="50" t="n">
        <x:f>G69/60*Assumptions!$B$8</x:f>
        <x:v>4.266666666666667</x:v>
      </x:c>
      <x:c r="Q69" s="50" t="n">
        <x:f>(H69+I69+L69+O69+P69)*Assumptions!$B$10</x:f>
        <x:v>0.37242333333333333</x:v>
      </x:c>
      <x:c r="R69" s="50" t="n">
        <x:f>H69+I69+L69+O69+P69+Q69</x:f>
        <x:v>7.82089</x:v>
      </x:c>
      <x:c r="S69" s="50" t="n">
        <x:f>IF(C69="S",Assumptions!$B$25,IF(C69="M",Assumptions!$B$26,IF(C69="L",Assumptions!$B$27,Assumptions!$B$28)))</x:f>
        <x:v>7.5</x:v>
      </x:c>
      <x:c r="T69" s="50" t="n">
        <x:f>ROUNDUP(MAX(S69,R69/(1-Assumptions!$B$6-Assumptions!$B$7))*2,0)/2</x:f>
        <x:v>20</x:v>
      </x:c>
      <x:c r="U69" s="54" t="n">
        <x:f>Assumptions!$B$5</x:f>
        <x:v>0.19</x:v>
      </x:c>
      <x:c r="V69" s="50" t="n">
        <x:f>T69*(1+U69)</x:f>
        <x:v>23.799999999999997</x:v>
      </x:c>
      <x:c r="W69" s="50" t="n">
        <x:f>T69*Assumptions!$B$6</x:f>
        <x:v>1</x:v>
      </x:c>
      <x:c r="X69" s="50" t="n">
        <x:f>T69-R69-W69</x:f>
        <x:v>11.17911</x:v>
      </x:c>
      <x:c r="Y69" s="54" t="n">
        <x:f>IFERROR(X69/T69,0)</x:f>
        <x:v>0.5589554999999999</x:v>
      </x:c>
      <x:c r="Z69" s="50" t="n">
        <x:v>5.9</x:v>
      </x:c>
      <x:c r="AA69" s="46" t="str"/>
    </x:row>
    <x:row r="70" ht="28" customHeight="1">
      <x:c r="A70" s="46" t="str">
        <x:v>SKU-069</x:v>
      </x:c>
      <x:c r="B70" s="46" t="str">
        <x:v>Decorative geometric wall-tile system</x:v>
      </x:c>
      <x:c r="C70" s="46" t="str">
        <x:v>M</x:v>
      </x:c>
      <x:c r="D70" s="46" t="str">
        <x:v>PLA</x:v>
      </x:c>
      <x:c r="E70" s="48" t="n">
        <x:v>760</x:v>
      </x:c>
      <x:c r="F70" s="48" t="n">
        <x:v>17</x:v>
      </x:c>
      <x:c r="G70" s="48" t="n">
        <x:v>24</x:v>
      </x:c>
      <x:c r="H70" s="50" t="n">
        <x:f>IF(C70="S",Assumptions!$B$19,IF(C70="M",Assumptions!$B$20,IF(C70="L",Assumptions!$B$21,Assumptions!$B$22)))</x:f>
        <x:v>1</x:v>
      </x:c>
      <x:c r="I70" s="50" t="n">
        <x:v>0</x:v>
      </x:c>
      <x:c r="J70" s="50" t="n">
        <x:f>IF(D70="PLA",Assumptions!$B$31,IF(D70="PETG",Assumptions!$B$32,IF(D70="ASA",Assumptions!$B$33,IF(D70="TPU",Assumptions!$B$34,IF(D70="PC Blend",Assumptions!$B$35,Assumptions!$B$36)))))</x:f>
        <x:v>22</x:v>
      </x:c>
      <x:c r="K70" s="54" t="n">
        <x:f>Assumptions!$B$9</x:f>
        <x:v>0.08</x:v>
      </x:c>
      <x:c r="L70" s="50" t="n">
        <x:f>E70/1000*J70*(1+K70)</x:f>
        <x:v>18.0576</x:v>
      </x:c>
      <x:c r="M70" s="46" t="str">
        <x:v>Core</x:v>
      </x:c>
      <x:c r="N70" s="50" t="n">
        <x:f>IF(M70="Core",Assumptions!$B$13,IF(M70="Large",Assumptions!$B$14,IF(M70="Enclosed",Assumptions!$B$15,Assumptions!$B$16)))</x:f>
        <x:v>0.75</x:v>
      </x:c>
      <x:c r="O70" s="50" t="n">
        <x:f>F70*N70</x:f>
        <x:v>12.75</x:v>
      </x:c>
      <x:c r="P70" s="50" t="n">
        <x:f>G70/60*Assumptions!$B$8</x:f>
        <x:v>12.8</x:v>
      </x:c>
      <x:c r="Q70" s="50" t="n">
        <x:f>(H70+I70+L70+O70+P70)*Assumptions!$B$10</x:f>
        <x:v>2.2303800000000003</x:v>
      </x:c>
      <x:c r="R70" s="50" t="n">
        <x:f>H70+I70+L70+O70+P70+Q70</x:f>
        <x:v>46.83798</x:v>
      </x:c>
      <x:c r="S70" s="50" t="n">
        <x:f>IF(C70="S",Assumptions!$B$25,IF(C70="M",Assumptions!$B$26,IF(C70="L",Assumptions!$B$27,Assumptions!$B$28)))</x:f>
        <x:v>12.5</x:v>
      </x:c>
      <x:c r="T70" s="50" t="n">
        <x:f>ROUNDUP(MAX(S70,R70/(1-Assumptions!$B$6-Assumptions!$B$7))*2,0)/2</x:f>
        <x:v>117.5</x:v>
      </x:c>
      <x:c r="U70" s="54" t="n">
        <x:f>Assumptions!$B$5</x:f>
        <x:v>0.19</x:v>
      </x:c>
      <x:c r="V70" s="50" t="n">
        <x:f>T70*(1+U70)</x:f>
        <x:v>139.825</x:v>
      </x:c>
      <x:c r="W70" s="50" t="n">
        <x:f>T70*Assumptions!$B$6</x:f>
        <x:v>5.875</x:v>
      </x:c>
      <x:c r="X70" s="50" t="n">
        <x:f>T70-R70-W70</x:f>
        <x:v>64.78702</x:v>
      </x:c>
      <x:c r="Y70" s="54" t="n">
        <x:f>IFERROR(X70/T70,0)</x:f>
        <x:v>0.5513788936170213</x:v>
      </x:c>
      <x:c r="Z70" s="50" t="n">
        <x:v>16.9</x:v>
      </x:c>
      <x:c r="AA70" s="46" t="str"/>
    </x:row>
    <x:row r="71" ht="28" customHeight="1">
      <x:c r="A71" s="46" t="str">
        <x:v>SKU-070</x:v>
      </x:c>
      <x:c r="B71" s="46" t="str">
        <x:v>Sit-stand desk cable chain</x:v>
      </x:c>
      <x:c r="C71" s="46" t="str">
        <x:v>M</x:v>
      </x:c>
      <x:c r="D71" s="46" t="str">
        <x:v>PETG</x:v>
      </x:c>
      <x:c r="E71" s="48" t="n">
        <x:v>220</x:v>
      </x:c>
      <x:c r="F71" s="48" t="n">
        <x:v>5.3</x:v>
      </x:c>
      <x:c r="G71" s="48" t="n">
        <x:v>15</x:v>
      </x:c>
      <x:c r="H71" s="50" t="n">
        <x:f>IF(C71="S",Assumptions!$B$19,IF(C71="M",Assumptions!$B$20,IF(C71="L",Assumptions!$B$21,Assumptions!$B$22)))</x:f>
        <x:v>1</x:v>
      </x:c>
      <x:c r="I71" s="50" t="n">
        <x:v>0</x:v>
      </x:c>
      <x:c r="J71" s="50" t="n">
        <x:f>IF(D71="PLA",Assumptions!$B$31,IF(D71="PETG",Assumptions!$B$32,IF(D71="ASA",Assumptions!$B$33,IF(D71="TPU",Assumptions!$B$34,IF(D71="PC Blend",Assumptions!$B$35,Assumptions!$B$36)))))</x:f>
        <x:v>26</x:v>
      </x:c>
      <x:c r="K71" s="54" t="n">
        <x:f>Assumptions!$B$9</x:f>
        <x:v>0.08</x:v>
      </x:c>
      <x:c r="L71" s="50" t="n">
        <x:f>E71/1000*J71*(1+K71)</x:f>
        <x:v>6.1776</x:v>
      </x:c>
      <x:c r="M71" s="46" t="str">
        <x:v>Core</x:v>
      </x:c>
      <x:c r="N71" s="50" t="n">
        <x:f>IF(M71="Core",Assumptions!$B$13,IF(M71="Large",Assumptions!$B$14,IF(M71="Enclosed",Assumptions!$B$15,Assumptions!$B$16)))</x:f>
        <x:v>0.75</x:v>
      </x:c>
      <x:c r="O71" s="50" t="n">
        <x:f>F71*N71</x:f>
        <x:v>3.9749999999999996</x:v>
      </x:c>
      <x:c r="P71" s="50" t="n">
        <x:f>G71/60*Assumptions!$B$8</x:f>
        <x:v>8</x:v>
      </x:c>
      <x:c r="Q71" s="50" t="n">
        <x:f>(H71+I71+L71+O71+P71)*Assumptions!$B$10</x:f>
        <x:v>0.95763</x:v>
      </x:c>
      <x:c r="R71" s="50" t="n">
        <x:f>H71+I71+L71+O71+P71+Q71</x:f>
        <x:v>20.11023</x:v>
      </x:c>
      <x:c r="S71" s="50" t="n">
        <x:f>IF(C71="S",Assumptions!$B$25,IF(C71="M",Assumptions!$B$26,IF(C71="L",Assumptions!$B$27,Assumptions!$B$28)))</x:f>
        <x:v>12.5</x:v>
      </x:c>
      <x:c r="T71" s="50" t="n">
        <x:f>ROUNDUP(MAX(S71,R71/(1-Assumptions!$B$6-Assumptions!$B$7))*2,0)/2</x:f>
        <x:v>50.5</x:v>
      </x:c>
      <x:c r="U71" s="54" t="n">
        <x:f>Assumptions!$B$5</x:f>
        <x:v>0.19</x:v>
      </x:c>
      <x:c r="V71" s="50" t="n">
        <x:f>T71*(1+U71)</x:f>
        <x:v>60.095</x:v>
      </x:c>
      <x:c r="W71" s="50" t="n">
        <x:f>T71*Assumptions!$B$6</x:f>
        <x:v>2.5250000000000004</x:v>
      </x:c>
      <x:c r="X71" s="50" t="n">
        <x:f>T71-R71-W71</x:f>
        <x:v>27.86477</x:v>
      </x:c>
      <x:c r="Y71" s="54" t="n">
        <x:f>IFERROR(X71/T71,0)</x:f>
        <x:v>0.5517776237623763</x:v>
      </x:c>
      <x:c r="Z71" s="50" t="n">
        <x:v>13.9</x:v>
      </x:c>
      <x:c r="AA71" s="46" t="str"/>
    </x:row>
    <x:row r="72" ht="28" customHeight="1">
      <x:c r="A72" s="46" t="str">
        <x:v>SKU-071</x:v>
      </x:c>
      <x:c r="B72" s="46" t="str">
        <x:v>Wall-mounted tablet/phone holder</x:v>
      </x:c>
      <x:c r="C72" s="46" t="str">
        <x:v>M</x:v>
      </x:c>
      <x:c r="D72" s="46" t="str">
        <x:v>PETG</x:v>
      </x:c>
      <x:c r="E72" s="48" t="n">
        <x:v>150</x:v>
      </x:c>
      <x:c r="F72" s="48" t="n">
        <x:v>3.7</x:v>
      </x:c>
      <x:c r="G72" s="48" t="n">
        <x:v>14</x:v>
      </x:c>
      <x:c r="H72" s="50" t="n">
        <x:f>IF(C72="S",Assumptions!$B$19,IF(C72="M",Assumptions!$B$20,IF(C72="L",Assumptions!$B$21,Assumptions!$B$22)))</x:f>
        <x:v>1</x:v>
      </x:c>
      <x:c r="I72" s="50" t="n">
        <x:v>0</x:v>
      </x:c>
      <x:c r="J72" s="50" t="n">
        <x:f>IF(D72="PLA",Assumptions!$B$31,IF(D72="PETG",Assumptions!$B$32,IF(D72="ASA",Assumptions!$B$33,IF(D72="TPU",Assumptions!$B$34,IF(D72="PC Blend",Assumptions!$B$35,Assumptions!$B$36)))))</x:f>
        <x:v>26</x:v>
      </x:c>
      <x:c r="K72" s="54" t="n">
        <x:f>Assumptions!$B$9</x:f>
        <x:v>0.08</x:v>
      </x:c>
      <x:c r="L72" s="50" t="n">
        <x:f>E72/1000*J72*(1+K72)</x:f>
        <x:v>4.212</x:v>
      </x:c>
      <x:c r="M72" s="46" t="str">
        <x:v>Core</x:v>
      </x:c>
      <x:c r="N72" s="50" t="n">
        <x:f>IF(M72="Core",Assumptions!$B$13,IF(M72="Large",Assumptions!$B$14,IF(M72="Enclosed",Assumptions!$B$15,Assumptions!$B$16)))</x:f>
        <x:v>0.75</x:v>
      </x:c>
      <x:c r="O72" s="50" t="n">
        <x:f>F72*N72</x:f>
        <x:v>2.7750000000000004</x:v>
      </x:c>
      <x:c r="P72" s="50" t="n">
        <x:f>G72/60*Assumptions!$B$8</x:f>
        <x:v>7.466666666666667</x:v>
      </x:c>
      <x:c r="Q72" s="50" t="n">
        <x:f>(H72+I72+L72+O72+P72)*Assumptions!$B$10</x:f>
        <x:v>0.7726833333333334</x:v>
      </x:c>
      <x:c r="R72" s="50" t="n">
        <x:f>H72+I72+L72+O72+P72+Q72</x:f>
        <x:v>16.22635</x:v>
      </x:c>
      <x:c r="S72" s="50" t="n">
        <x:f>IF(C72="S",Assumptions!$B$25,IF(C72="M",Assumptions!$B$26,IF(C72="L",Assumptions!$B$27,Assumptions!$B$28)))</x:f>
        <x:v>12.5</x:v>
      </x:c>
      <x:c r="T72" s="50" t="n">
        <x:f>ROUNDUP(MAX(S72,R72/(1-Assumptions!$B$6-Assumptions!$B$7))*2,0)/2</x:f>
        <x:v>41</x:v>
      </x:c>
      <x:c r="U72" s="54" t="n">
        <x:f>Assumptions!$B$5</x:f>
        <x:v>0.19</x:v>
      </x:c>
      <x:c r="V72" s="50" t="n">
        <x:f>T72*(1+U72)</x:f>
        <x:v>48.79</x:v>
      </x:c>
      <x:c r="W72" s="50" t="n">
        <x:f>T72*Assumptions!$B$6</x:f>
        <x:v>2.0500000000000003</x:v>
      </x:c>
      <x:c r="X72" s="50" t="n">
        <x:f>T72-R72-W72</x:f>
        <x:v>22.72365</x:v>
      </x:c>
      <x:c r="Y72" s="54" t="n">
        <x:f>IFERROR(X72/T72,0)</x:f>
        <x:v>0.5542353658536585</x:v>
      </x:c>
      <x:c r="Z72" s="50" t="n">
        <x:v>12.9</x:v>
      </x:c>
      <x:c r="AA72" s="46" t="str"/>
    </x:row>
    <x:row r="73" ht="28" customHeight="1">
      <x:c r="A73" s="46" t="str">
        <x:v>SKU-072</x:v>
      </x:c>
      <x:c r="B73" s="46" t="str">
        <x:v>Weighted geometric bookend pair</x:v>
      </x:c>
      <x:c r="C73" s="46" t="str">
        <x:v>M</x:v>
      </x:c>
      <x:c r="D73" s="46" t="str">
        <x:v>PETG</x:v>
      </x:c>
      <x:c r="E73" s="48" t="n">
        <x:v>760</x:v>
      </x:c>
      <x:c r="F73" s="48" t="n">
        <x:v>15</x:v>
      </x:c>
      <x:c r="G73" s="48" t="n">
        <x:v>22</x:v>
      </x:c>
      <x:c r="H73" s="50" t="n">
        <x:f>IF(C73="S",Assumptions!$B$19,IF(C73="M",Assumptions!$B$20,IF(C73="L",Assumptions!$B$21,Assumptions!$B$22)))</x:f>
        <x:v>1</x:v>
      </x:c>
      <x:c r="I73" s="50" t="n">
        <x:v>0</x:v>
      </x:c>
      <x:c r="J73" s="50" t="n">
        <x:f>IF(D73="PLA",Assumptions!$B$31,IF(D73="PETG",Assumptions!$B$32,IF(D73="ASA",Assumptions!$B$33,IF(D73="TPU",Assumptions!$B$34,IF(D73="PC Blend",Assumptions!$B$35,Assumptions!$B$36)))))</x:f>
        <x:v>26</x:v>
      </x:c>
      <x:c r="K73" s="54" t="n">
        <x:f>Assumptions!$B$9</x:f>
        <x:v>0.08</x:v>
      </x:c>
      <x:c r="L73" s="50" t="n">
        <x:f>E73/1000*J73*(1+K73)</x:f>
        <x:v>21.3408</x:v>
      </x:c>
      <x:c r="M73" s="46" t="str">
        <x:v>Core</x:v>
      </x:c>
      <x:c r="N73" s="50" t="n">
        <x:f>IF(M73="Core",Assumptions!$B$13,IF(M73="Large",Assumptions!$B$14,IF(M73="Enclosed",Assumptions!$B$15,Assumptions!$B$16)))</x:f>
        <x:v>0.75</x:v>
      </x:c>
      <x:c r="O73" s="50" t="n">
        <x:f>F73*N73</x:f>
        <x:v>11.25</x:v>
      </x:c>
      <x:c r="P73" s="50" t="n">
        <x:f>G73/60*Assumptions!$B$8</x:f>
        <x:v>11.733333333333333</x:v>
      </x:c>
      <x:c r="Q73" s="50" t="n">
        <x:f>(H73+I73+L73+O73+P73)*Assumptions!$B$10</x:f>
        <x:v>2.2662066666666667</x:v>
      </x:c>
      <x:c r="R73" s="50" t="n">
        <x:f>H73+I73+L73+O73+P73+Q73</x:f>
        <x:v>47.590340000000005</x:v>
      </x:c>
      <x:c r="S73" s="50" t="n">
        <x:f>IF(C73="S",Assumptions!$B$25,IF(C73="M",Assumptions!$B$26,IF(C73="L",Assumptions!$B$27,Assumptions!$B$28)))</x:f>
        <x:v>12.5</x:v>
      </x:c>
      <x:c r="T73" s="50" t="n">
        <x:f>ROUNDUP(MAX(S73,R73/(1-Assumptions!$B$6-Assumptions!$B$7))*2,0)/2</x:f>
        <x:v>119</x:v>
      </x:c>
      <x:c r="U73" s="54" t="n">
        <x:f>Assumptions!$B$5</x:f>
        <x:v>0.19</x:v>
      </x:c>
      <x:c r="V73" s="50" t="n">
        <x:f>T73*(1+U73)</x:f>
        <x:v>141.60999999999999</x:v>
      </x:c>
      <x:c r="W73" s="50" t="n">
        <x:f>T73*Assumptions!$B$6</x:f>
        <x:v>5.95</x:v>
      </x:c>
      <x:c r="X73" s="50" t="n">
        <x:f>T73-R73-W73</x:f>
        <x:v>65.45966</x:v>
      </x:c>
      <x:c r="Y73" s="54" t="n">
        <x:f>IFERROR(X73/T73,0)</x:f>
        <x:v>0.5500811764705882</x:v>
      </x:c>
      <x:c r="Z73" s="50" t="n">
        <x:v>14.9</x:v>
      </x:c>
      <x:c r="AA73" s="46" t="str"/>
    </x:row>
    <x:row r="74" ht="28" customHeight="1">
      <x:c r="A74" s="46" t="str">
        <x:v>SKU-073</x:v>
      </x:c>
      <x:c r="B74" s="46" t="str">
        <x:v>Stackable herb-planter module</x:v>
      </x:c>
      <x:c r="C74" s="46" t="str">
        <x:v>M</x:v>
      </x:c>
      <x:c r="D74" s="46" t="str">
        <x:v>PETG</x:v>
      </x:c>
      <x:c r="E74" s="48" t="n">
        <x:v>620</x:v>
      </x:c>
      <x:c r="F74" s="48" t="n">
        <x:v>15</x:v>
      </x:c>
      <x:c r="G74" s="48" t="n">
        <x:v>22</x:v>
      </x:c>
      <x:c r="H74" s="50" t="n">
        <x:f>IF(C74="S",Assumptions!$B$19,IF(C74="M",Assumptions!$B$20,IF(C74="L",Assumptions!$B$21,Assumptions!$B$22)))</x:f>
        <x:v>1</x:v>
      </x:c>
      <x:c r="I74" s="50" t="n">
        <x:v>0</x:v>
      </x:c>
      <x:c r="J74" s="50" t="n">
        <x:f>IF(D74="PLA",Assumptions!$B$31,IF(D74="PETG",Assumptions!$B$32,IF(D74="ASA",Assumptions!$B$33,IF(D74="TPU",Assumptions!$B$34,IF(D74="PC Blend",Assumptions!$B$35,Assumptions!$B$36)))))</x:f>
        <x:v>26</x:v>
      </x:c>
      <x:c r="K74" s="54" t="n">
        <x:f>Assumptions!$B$9</x:f>
        <x:v>0.08</x:v>
      </x:c>
      <x:c r="L74" s="50" t="n">
        <x:f>E74/1000*J74*(1+K74)</x:f>
        <x:v>17.4096</x:v>
      </x:c>
      <x:c r="M74" s="46" t="str">
        <x:v>Core</x:v>
      </x:c>
      <x:c r="N74" s="50" t="n">
        <x:f>IF(M74="Core",Assumptions!$B$13,IF(M74="Large",Assumptions!$B$14,IF(M74="Enclosed",Assumptions!$B$15,Assumptions!$B$16)))</x:f>
        <x:v>0.75</x:v>
      </x:c>
      <x:c r="O74" s="50" t="n">
        <x:f>F74*N74</x:f>
        <x:v>11.25</x:v>
      </x:c>
      <x:c r="P74" s="50" t="n">
        <x:f>G74/60*Assumptions!$B$8</x:f>
        <x:v>11.733333333333333</x:v>
      </x:c>
      <x:c r="Q74" s="50" t="n">
        <x:f>(H74+I74+L74+O74+P74)*Assumptions!$B$10</x:f>
        <x:v>2.069646666666667</x:v>
      </x:c>
      <x:c r="R74" s="50" t="n">
        <x:f>H74+I74+L74+O74+P74+Q74</x:f>
        <x:v>43.462579999999996</x:v>
      </x:c>
      <x:c r="S74" s="50" t="n">
        <x:f>IF(C74="S",Assumptions!$B$25,IF(C74="M",Assumptions!$B$26,IF(C74="L",Assumptions!$B$27,Assumptions!$B$28)))</x:f>
        <x:v>12.5</x:v>
      </x:c>
      <x:c r="T74" s="50" t="n">
        <x:f>ROUNDUP(MAX(S74,R74/(1-Assumptions!$B$6-Assumptions!$B$7))*2,0)/2</x:f>
        <x:v>109</x:v>
      </x:c>
      <x:c r="U74" s="54" t="n">
        <x:f>Assumptions!$B$5</x:f>
        <x:v>0.19</x:v>
      </x:c>
      <x:c r="V74" s="50" t="n">
        <x:f>T74*(1+U74)</x:f>
        <x:v>129.71</x:v>
      </x:c>
      <x:c r="W74" s="50" t="n">
        <x:f>T74*Assumptions!$B$6</x:f>
        <x:v>5.45</x:v>
      </x:c>
      <x:c r="X74" s="50" t="n">
        <x:f>T74-R74-W74</x:f>
        <x:v>60.087419999999995</x:v>
      </x:c>
      <x:c r="Y74" s="54" t="n">
        <x:f>IFERROR(X74/T74,0)</x:f>
        <x:v>0.5512607339449541</x:v>
      </x:c>
      <x:c r="Z74" s="50" t="n">
        <x:v>14.9</x:v>
      </x:c>
      <x:c r="AA74" s="46" t="str"/>
    </x:row>
    <x:row r="75" ht="28" customHeight="1">
      <x:c r="A75" s="46" t="str">
        <x:v>SKU-074</x:v>
      </x:c>
      <x:c r="B75" s="46" t="str">
        <x:v>Clip-on LED task-light diffuser</x:v>
      </x:c>
      <x:c r="C75" s="46" t="str">
        <x:v>M</x:v>
      </x:c>
      <x:c r="D75" s="46" t="str">
        <x:v>PETG</x:v>
      </x:c>
      <x:c r="E75" s="48" t="n">
        <x:v>175</x:v>
      </x:c>
      <x:c r="F75" s="48" t="n">
        <x:v>4.2</x:v>
      </x:c>
      <x:c r="G75" s="48" t="n">
        <x:v>16</x:v>
      </x:c>
      <x:c r="H75" s="50" t="n">
        <x:f>IF(C75="S",Assumptions!$B$19,IF(C75="M",Assumptions!$B$20,IF(C75="L",Assumptions!$B$21,Assumptions!$B$22)))</x:f>
        <x:v>1</x:v>
      </x:c>
      <x:c r="I75" s="50" t="n">
        <x:v>0</x:v>
      </x:c>
      <x:c r="J75" s="50" t="n">
        <x:f>IF(D75="PLA",Assumptions!$B$31,IF(D75="PETG",Assumptions!$B$32,IF(D75="ASA",Assumptions!$B$33,IF(D75="TPU",Assumptions!$B$34,IF(D75="PC Blend",Assumptions!$B$35,Assumptions!$B$36)))))</x:f>
        <x:v>26</x:v>
      </x:c>
      <x:c r="K75" s="54" t="n">
        <x:f>Assumptions!$B$9</x:f>
        <x:v>0.08</x:v>
      </x:c>
      <x:c r="L75" s="50" t="n">
        <x:f>E75/1000*J75*(1+K75)</x:f>
        <x:v>4.914</x:v>
      </x:c>
      <x:c r="M75" s="46" t="str">
        <x:v>Core</x:v>
      </x:c>
      <x:c r="N75" s="50" t="n">
        <x:f>IF(M75="Core",Assumptions!$B$13,IF(M75="Large",Assumptions!$B$14,IF(M75="Enclosed",Assumptions!$B$15,Assumptions!$B$16)))</x:f>
        <x:v>0.75</x:v>
      </x:c>
      <x:c r="O75" s="50" t="n">
        <x:f>F75*N75</x:f>
        <x:v>3.1500000000000004</x:v>
      </x:c>
      <x:c r="P75" s="50" t="n">
        <x:f>G75/60*Assumptions!$B$8</x:f>
        <x:v>8.533333333333333</x:v>
      </x:c>
      <x:c r="Q75" s="50" t="n">
        <x:f>(H75+I75+L75+O75+P75)*Assumptions!$B$10</x:f>
        <x:v>0.8798666666666666</x:v>
      </x:c>
      <x:c r="R75" s="50" t="n">
        <x:f>H75+I75+L75+O75+P75+Q75</x:f>
        <x:v>18.477199999999996</x:v>
      </x:c>
      <x:c r="S75" s="50" t="n">
        <x:f>IF(C75="S",Assumptions!$B$25,IF(C75="M",Assumptions!$B$26,IF(C75="L",Assumptions!$B$27,Assumptions!$B$28)))</x:f>
        <x:v>12.5</x:v>
      </x:c>
      <x:c r="T75" s="50" t="n">
        <x:f>ROUNDUP(MAX(S75,R75/(1-Assumptions!$B$6-Assumptions!$B$7))*2,0)/2</x:f>
        <x:v>46.5</x:v>
      </x:c>
      <x:c r="U75" s="54" t="n">
        <x:f>Assumptions!$B$5</x:f>
        <x:v>0.19</x:v>
      </x:c>
      <x:c r="V75" s="50" t="n">
        <x:f>T75*(1+U75)</x:f>
        <x:v>55.335</x:v>
      </x:c>
      <x:c r="W75" s="50" t="n">
        <x:f>T75*Assumptions!$B$6</x:f>
        <x:v>2.325</x:v>
      </x:c>
      <x:c r="X75" s="50" t="n">
        <x:f>T75-R75-W75</x:f>
        <x:v>25.697800000000004</x:v>
      </x:c>
      <x:c r="Y75" s="54" t="n">
        <x:f>IFERROR(X75/T75,0)</x:f>
        <x:v>0.5526408602150539</x:v>
      </x:c>
      <x:c r="Z75" s="50" t="n">
        <x:v>11.9</x:v>
      </x:c>
      <x:c r="AA75" s="46" t="str"/>
    </x:row>
    <x:row r="76" ht="28" customHeight="1">
      <x:c r="A76" s="46" t="str">
        <x:v>SKU-075</x:v>
      </x:c>
      <x:c r="B76" s="46" t="str">
        <x:v>Modular original desk-totem series</x:v>
      </x:c>
      <x:c r="C76" s="46" t="str">
        <x:v>M</x:v>
      </x:c>
      <x:c r="D76" s="46" t="str">
        <x:v>PLA</x:v>
      </x:c>
      <x:c r="E76" s="48" t="n">
        <x:v>155</x:v>
      </x:c>
      <x:c r="F76" s="48" t="n">
        <x:v>4.2</x:v>
      </x:c>
      <x:c r="G76" s="48" t="n">
        <x:v>14</x:v>
      </x:c>
      <x:c r="H76" s="50" t="n">
        <x:f>IF(C76="S",Assumptions!$B$19,IF(C76="M",Assumptions!$B$20,IF(C76="L",Assumptions!$B$21,Assumptions!$B$22)))</x:f>
        <x:v>1</x:v>
      </x:c>
      <x:c r="I76" s="50" t="n">
        <x:v>0</x:v>
      </x:c>
      <x:c r="J76" s="50" t="n">
        <x:f>IF(D76="PLA",Assumptions!$B$31,IF(D76="PETG",Assumptions!$B$32,IF(D76="ASA",Assumptions!$B$33,IF(D76="TPU",Assumptions!$B$34,IF(D76="PC Blend",Assumptions!$B$35,Assumptions!$B$36)))))</x:f>
        <x:v>22</x:v>
      </x:c>
      <x:c r="K76" s="54" t="n">
        <x:f>Assumptions!$B$9</x:f>
        <x:v>0.08</x:v>
      </x:c>
      <x:c r="L76" s="50" t="n">
        <x:f>E76/1000*J76*(1+K76)</x:f>
        <x:v>3.6828000000000003</x:v>
      </x:c>
      <x:c r="M76" s="46" t="str">
        <x:v>Core</x:v>
      </x:c>
      <x:c r="N76" s="50" t="n">
        <x:f>IF(M76="Core",Assumptions!$B$13,IF(M76="Large",Assumptions!$B$14,IF(M76="Enclosed",Assumptions!$B$15,Assumptions!$B$16)))</x:f>
        <x:v>0.75</x:v>
      </x:c>
      <x:c r="O76" s="50" t="n">
        <x:f>F76*N76</x:f>
        <x:v>3.1500000000000004</x:v>
      </x:c>
      <x:c r="P76" s="50" t="n">
        <x:f>G76/60*Assumptions!$B$8</x:f>
        <x:v>7.466666666666667</x:v>
      </x:c>
      <x:c r="Q76" s="50" t="n">
        <x:f>(H76+I76+L76+O76+P76)*Assumptions!$B$10</x:f>
        <x:v>0.7649733333333334</x:v>
      </x:c>
      <x:c r="R76" s="50" t="n">
        <x:f>H76+I76+L76+O76+P76+Q76</x:f>
        <x:v>16.06444</x:v>
      </x:c>
      <x:c r="S76" s="50" t="n">
        <x:f>IF(C76="S",Assumptions!$B$25,IF(C76="M",Assumptions!$B$26,IF(C76="L",Assumptions!$B$27,Assumptions!$B$28)))</x:f>
        <x:v>12.5</x:v>
      </x:c>
      <x:c r="T76" s="50" t="n">
        <x:f>ROUNDUP(MAX(S76,R76/(1-Assumptions!$B$6-Assumptions!$B$7))*2,0)/2</x:f>
        <x:v>40.5</x:v>
      </x:c>
      <x:c r="U76" s="54" t="n">
        <x:f>Assumptions!$B$5</x:f>
        <x:v>0.19</x:v>
      </x:c>
      <x:c r="V76" s="50" t="n">
        <x:f>T76*(1+U76)</x:f>
        <x:v>48.195</x:v>
      </x:c>
      <x:c r="W76" s="50" t="n">
        <x:f>T76*Assumptions!$B$6</x:f>
        <x:v>2.025</x:v>
      </x:c>
      <x:c r="X76" s="50" t="n">
        <x:f>T76-R76-W76</x:f>
        <x:v>22.41056</x:v>
      </x:c>
      <x:c r="Y76" s="54" t="n">
        <x:f>IFERROR(X76/T76,0)</x:f>
        <x:v>0.5533471604938272</x:v>
      </x:c>
      <x:c r="Z76" s="50" t="n">
        <x:v>11.9</x:v>
      </x:c>
      <x:c r="AA76" s="46" t="str"/>
    </x:row>
    <x:row r="77" ht="28" customHeight="1">
      <x:c r="A77" s="46" t="str">
        <x:v>SKU-076</x:v>
      </x:c>
      <x:c r="B77" s="46" t="str">
        <x:v>Configurable board-game box insert</x:v>
      </x:c>
      <x:c r="C77" s="46" t="str">
        <x:v>M</x:v>
      </x:c>
      <x:c r="D77" s="46" t="str">
        <x:v>PLA</x:v>
      </x:c>
      <x:c r="E77" s="48" t="n">
        <x:v>680</x:v>
      </x:c>
      <x:c r="F77" s="48" t="n">
        <x:v>16</x:v>
      </x:c>
      <x:c r="G77" s="48" t="n">
        <x:v>20</x:v>
      </x:c>
      <x:c r="H77" s="50" t="n">
        <x:f>IF(C77="S",Assumptions!$B$19,IF(C77="M",Assumptions!$B$20,IF(C77="L",Assumptions!$B$21,Assumptions!$B$22)))</x:f>
        <x:v>1</x:v>
      </x:c>
      <x:c r="I77" s="50" t="n">
        <x:v>0</x:v>
      </x:c>
      <x:c r="J77" s="50" t="n">
        <x:f>IF(D77="PLA",Assumptions!$B$31,IF(D77="PETG",Assumptions!$B$32,IF(D77="ASA",Assumptions!$B$33,IF(D77="TPU",Assumptions!$B$34,IF(D77="PC Blend",Assumptions!$B$35,Assumptions!$B$36)))))</x:f>
        <x:v>22</x:v>
      </x:c>
      <x:c r="K77" s="54" t="n">
        <x:f>Assumptions!$B$9</x:f>
        <x:v>0.08</x:v>
      </x:c>
      <x:c r="L77" s="50" t="n">
        <x:f>E77/1000*J77*(1+K77)</x:f>
        <x:v>16.1568</x:v>
      </x:c>
      <x:c r="M77" s="46" t="str">
        <x:v>Core</x:v>
      </x:c>
      <x:c r="N77" s="50" t="n">
        <x:f>IF(M77="Core",Assumptions!$B$13,IF(M77="Large",Assumptions!$B$14,IF(M77="Enclosed",Assumptions!$B$15,Assumptions!$B$16)))</x:f>
        <x:v>0.75</x:v>
      </x:c>
      <x:c r="O77" s="50" t="n">
        <x:f>F77*N77</x:f>
        <x:v>12</x:v>
      </x:c>
      <x:c r="P77" s="50" t="n">
        <x:f>G77/60*Assumptions!$B$8</x:f>
        <x:v>10.666666666666666</x:v>
      </x:c>
      <x:c r="Q77" s="50" t="n">
        <x:f>(H77+I77+L77+O77+P77)*Assumptions!$B$10</x:f>
        <x:v>1.9911733333333335</x:v>
      </x:c>
      <x:c r="R77" s="50" t="n">
        <x:f>H77+I77+L77+O77+P77+Q77</x:f>
        <x:v>41.814640000000004</x:v>
      </x:c>
      <x:c r="S77" s="50" t="n">
        <x:f>IF(C77="S",Assumptions!$B$25,IF(C77="M",Assumptions!$B$26,IF(C77="L",Assumptions!$B$27,Assumptions!$B$28)))</x:f>
        <x:v>12.5</x:v>
      </x:c>
      <x:c r="T77" s="50" t="n">
        <x:f>ROUNDUP(MAX(S77,R77/(1-Assumptions!$B$6-Assumptions!$B$7))*2,0)/2</x:f>
        <x:v>105</x:v>
      </x:c>
      <x:c r="U77" s="54" t="n">
        <x:f>Assumptions!$B$5</x:f>
        <x:v>0.19</x:v>
      </x:c>
      <x:c r="V77" s="50" t="n">
        <x:f>T77*(1+U77)</x:f>
        <x:v>124.94999999999999</x:v>
      </x:c>
      <x:c r="W77" s="50" t="n">
        <x:f>T77*Assumptions!$B$6</x:f>
        <x:v>5.25</x:v>
      </x:c>
      <x:c r="X77" s="50" t="n">
        <x:f>T77-R77-W77</x:f>
        <x:v>57.935359999999996</x:v>
      </x:c>
      <x:c r="Y77" s="54" t="n">
        <x:f>IFERROR(X77/T77,0)</x:f>
        <x:v>0.5517653333333333</x:v>
      </x:c>
      <x:c r="Z77" s="50" t="n">
        <x:v>14.9</x:v>
      </x:c>
      <x:c r="AA77" s="46" t="str"/>
    </x:row>
    <x:row r="78" ht="28" customHeight="1">
      <x:c r="A78" s="46" t="str">
        <x:v>SKU-077</x:v>
      </x:c>
      <x:c r="B78" s="46" t="str">
        <x:v>Fold-flat modular dice tower</x:v>
      </x:c>
      <x:c r="C78" s="46" t="str">
        <x:v>M</x:v>
      </x:c>
      <x:c r="D78" s="46" t="str">
        <x:v>PETG</x:v>
      </x:c>
      <x:c r="E78" s="48" t="n">
        <x:v>520</x:v>
      </x:c>
      <x:c r="F78" s="48" t="n">
        <x:v>12</x:v>
      </x:c>
      <x:c r="G78" s="48" t="n">
        <x:v>18</x:v>
      </x:c>
      <x:c r="H78" s="50" t="n">
        <x:f>IF(C78="S",Assumptions!$B$19,IF(C78="M",Assumptions!$B$20,IF(C78="L",Assumptions!$B$21,Assumptions!$B$22)))</x:f>
        <x:v>1</x:v>
      </x:c>
      <x:c r="I78" s="50" t="n">
        <x:v>0</x:v>
      </x:c>
      <x:c r="J78" s="50" t="n">
        <x:f>IF(D78="PLA",Assumptions!$B$31,IF(D78="PETG",Assumptions!$B$32,IF(D78="ASA",Assumptions!$B$33,IF(D78="TPU",Assumptions!$B$34,IF(D78="PC Blend",Assumptions!$B$35,Assumptions!$B$36)))))</x:f>
        <x:v>26</x:v>
      </x:c>
      <x:c r="K78" s="54" t="n">
        <x:f>Assumptions!$B$9</x:f>
        <x:v>0.08</x:v>
      </x:c>
      <x:c r="L78" s="50" t="n">
        <x:f>E78/1000*J78*(1+K78)</x:f>
        <x:v>14.601600000000001</x:v>
      </x:c>
      <x:c r="M78" s="46" t="str">
        <x:v>Core</x:v>
      </x:c>
      <x:c r="N78" s="50" t="n">
        <x:f>IF(M78="Core",Assumptions!$B$13,IF(M78="Large",Assumptions!$B$14,IF(M78="Enclosed",Assumptions!$B$15,Assumptions!$B$16)))</x:f>
        <x:v>0.75</x:v>
      </x:c>
      <x:c r="O78" s="50" t="n">
        <x:f>F78*N78</x:f>
        <x:v>9</x:v>
      </x:c>
      <x:c r="P78" s="50" t="n">
        <x:f>G78/60*Assumptions!$B$8</x:f>
        <x:v>9.6</x:v>
      </x:c>
      <x:c r="Q78" s="50" t="n">
        <x:f>(H78+I78+L78+O78+P78)*Assumptions!$B$10</x:f>
        <x:v>1.71008</x:v>
      </x:c>
      <x:c r="R78" s="50" t="n">
        <x:f>H78+I78+L78+O78+P78+Q78</x:f>
        <x:v>35.91168</x:v>
      </x:c>
      <x:c r="S78" s="50" t="n">
        <x:f>IF(C78="S",Assumptions!$B$25,IF(C78="M",Assumptions!$B$26,IF(C78="L",Assumptions!$B$27,Assumptions!$B$28)))</x:f>
        <x:v>12.5</x:v>
      </x:c>
      <x:c r="T78" s="50" t="n">
        <x:f>ROUNDUP(MAX(S78,R78/(1-Assumptions!$B$6-Assumptions!$B$7))*2,0)/2</x:f>
        <x:v>90</x:v>
      </x:c>
      <x:c r="U78" s="54" t="n">
        <x:f>Assumptions!$B$5</x:f>
        <x:v>0.19</x:v>
      </x:c>
      <x:c r="V78" s="50" t="n">
        <x:f>T78*(1+U78)</x:f>
        <x:v>107.1</x:v>
      </x:c>
      <x:c r="W78" s="50" t="n">
        <x:f>T78*Assumptions!$B$6</x:f>
        <x:v>4.5</x:v>
      </x:c>
      <x:c r="X78" s="50" t="n">
        <x:f>T78-R78-W78</x:f>
        <x:v>49.58832</x:v>
      </x:c>
      <x:c r="Y78" s="54" t="n">
        <x:f>IFERROR(X78/T78,0)</x:f>
        <x:v>0.5509813333333333</x:v>
      </x:c>
      <x:c r="Z78" s="50" t="n">
        <x:v>12.9</x:v>
      </x:c>
      <x:c r="AA78" s="46" t="str"/>
    </x:row>
    <x:row r="79" ht="28" customHeight="1">
      <x:c r="A79" s="46" t="str">
        <x:v>SKU-078</x:v>
      </x:c>
      <x:c r="B79" s="46" t="str">
        <x:v>Scanner-to-fit furniture foot or end cap</x:v>
      </x:c>
      <x:c r="C79" s="46" t="str">
        <x:v>S</x:v>
      </x:c>
      <x:c r="D79" s="46" t="str">
        <x:v>TPU</x:v>
      </x:c>
      <x:c r="E79" s="48" t="n">
        <x:v>65</x:v>
      </x:c>
      <x:c r="F79" s="48" t="n">
        <x:v>2.2</x:v>
      </x:c>
      <x:c r="G79" s="48" t="n">
        <x:v>14</x:v>
      </x:c>
      <x:c r="H79" s="50" t="n">
        <x:f>IF(C79="S",Assumptions!$B$19,IF(C79="M",Assumptions!$B$20,IF(C79="L",Assumptions!$B$21,Assumptions!$B$22)))</x:f>
        <x:v>0.6</x:v>
      </x:c>
      <x:c r="I79" s="50" t="n">
        <x:v>0</x:v>
      </x:c>
      <x:c r="J79" s="50" t="n">
        <x:f>IF(D79="PLA",Assumptions!$B$31,IF(D79="PETG",Assumptions!$B$32,IF(D79="ASA",Assumptions!$B$33,IF(D79="TPU",Assumptions!$B$34,IF(D79="PC Blend",Assumptions!$B$35,Assumptions!$B$36)))))</x:f>
        <x:v>35</x:v>
      </x:c>
      <x:c r="K79" s="54" t="n">
        <x:f>Assumptions!$B$9</x:f>
        <x:v>0.08</x:v>
      </x:c>
      <x:c r="L79" s="50" t="n">
        <x:f>E79/1000*J79*(1+K79)</x:f>
        <x:v>2.457</x:v>
      </x:c>
      <x:c r="M79" s="46" t="str">
        <x:v>Flexible</x:v>
      </x:c>
      <x:c r="N79" s="50" t="n">
        <x:f>IF(M79="Core",Assumptions!$B$13,IF(M79="Large",Assumptions!$B$14,IF(M79="Enclosed",Assumptions!$B$15,Assumptions!$B$16)))</x:f>
        <x:v>0.85</x:v>
      </x:c>
      <x:c r="O79" s="50" t="n">
        <x:f>F79*N79</x:f>
        <x:v>1.87</x:v>
      </x:c>
      <x:c r="P79" s="50" t="n">
        <x:f>G79/60*Assumptions!$B$8</x:f>
        <x:v>7.466666666666667</x:v>
      </x:c>
      <x:c r="Q79" s="50" t="n">
        <x:f>(H79+I79+L79+O79+P79)*Assumptions!$B$10</x:f>
        <x:v>0.6196833333333334</x:v>
      </x:c>
      <x:c r="R79" s="50" t="n">
        <x:f>H79+I79+L79+O79+P79+Q79</x:f>
        <x:v>13.013349999999999</x:v>
      </x:c>
      <x:c r="S79" s="50" t="n">
        <x:f>IF(C79="S",Assumptions!$B$25,IF(C79="M",Assumptions!$B$26,IF(C79="L",Assumptions!$B$27,Assumptions!$B$28)))</x:f>
        <x:v>7.5</x:v>
      </x:c>
      <x:c r="T79" s="50" t="n">
        <x:f>ROUNDUP(MAX(S79,R79/(1-Assumptions!$B$6-Assumptions!$B$7))*2,0)/2</x:f>
        <x:v>33</x:v>
      </x:c>
      <x:c r="U79" s="54" t="n">
        <x:f>Assumptions!$B$5</x:f>
        <x:v>0.19</x:v>
      </x:c>
      <x:c r="V79" s="50" t="n">
        <x:f>T79*(1+U79)</x:f>
        <x:v>39.269999999999996</x:v>
      </x:c>
      <x:c r="W79" s="50" t="n">
        <x:f>T79*Assumptions!$B$6</x:f>
        <x:v>1.6500000000000001</x:v>
      </x:c>
      <x:c r="X79" s="50" t="n">
        <x:f>T79-R79-W79</x:f>
        <x:v>18.336650000000002</x:v>
      </x:c>
      <x:c r="Y79" s="54" t="n">
        <x:f>IFERROR(X79/T79,0)</x:f>
        <x:v>0.5556560606060607</x:v>
      </x:c>
      <x:c r="Z79" s="50" t="n">
        <x:v>12.9</x:v>
      </x:c>
      <x:c r="AA79" s="46" t="str"/>
    </x:row>
    <x:row r="80" ht="28" customHeight="1">
      <x:c r="A80" s="46" t="str">
        <x:v>SKU-079</x:v>
      </x:c>
      <x:c r="B80" s="46" t="str">
        <x:v>Vacuum-cleaner hose adapter</x:v>
      </x:c>
      <x:c r="C80" s="46" t="str">
        <x:v>M</x:v>
      </x:c>
      <x:c r="D80" s="46" t="str">
        <x:v>PETG</x:v>
      </x:c>
      <x:c r="E80" s="48" t="n">
        <x:v>135</x:v>
      </x:c>
      <x:c r="F80" s="48" t="n">
        <x:v>3.7</x:v>
      </x:c>
      <x:c r="G80" s="48" t="n">
        <x:v>15</x:v>
      </x:c>
      <x:c r="H80" s="50" t="n">
        <x:f>IF(C80="S",Assumptions!$B$19,IF(C80="M",Assumptions!$B$20,IF(C80="L",Assumptions!$B$21,Assumptions!$B$22)))</x:f>
        <x:v>1</x:v>
      </x:c>
      <x:c r="I80" s="50" t="n">
        <x:v>0</x:v>
      </x:c>
      <x:c r="J80" s="50" t="n">
        <x:f>IF(D80="PLA",Assumptions!$B$31,IF(D80="PETG",Assumptions!$B$32,IF(D80="ASA",Assumptions!$B$33,IF(D80="TPU",Assumptions!$B$34,IF(D80="PC Blend",Assumptions!$B$35,Assumptions!$B$36)))))</x:f>
        <x:v>26</x:v>
      </x:c>
      <x:c r="K80" s="54" t="n">
        <x:f>Assumptions!$B$9</x:f>
        <x:v>0.08</x:v>
      </x:c>
      <x:c r="L80" s="50" t="n">
        <x:f>E80/1000*J80*(1+K80)</x:f>
        <x:v>3.7908000000000004</x:v>
      </x:c>
      <x:c r="M80" s="46" t="str">
        <x:v>Core</x:v>
      </x:c>
      <x:c r="N80" s="50" t="n">
        <x:f>IF(M80="Core",Assumptions!$B$13,IF(M80="Large",Assumptions!$B$14,IF(M80="Enclosed",Assumptions!$B$15,Assumptions!$B$16)))</x:f>
        <x:v>0.75</x:v>
      </x:c>
      <x:c r="O80" s="50" t="n">
        <x:f>F80*N80</x:f>
        <x:v>2.7750000000000004</x:v>
      </x:c>
      <x:c r="P80" s="50" t="n">
        <x:f>G80/60*Assumptions!$B$8</x:f>
        <x:v>8</x:v>
      </x:c>
      <x:c r="Q80" s="50" t="n">
        <x:f>(H80+I80+L80+O80+P80)*Assumptions!$B$10</x:f>
        <x:v>0.7782900000000001</x:v>
      </x:c>
      <x:c r="R80" s="50" t="n">
        <x:f>H80+I80+L80+O80+P80+Q80</x:f>
        <x:v>16.34409</x:v>
      </x:c>
      <x:c r="S80" s="50" t="n">
        <x:f>IF(C80="S",Assumptions!$B$25,IF(C80="M",Assumptions!$B$26,IF(C80="L",Assumptions!$B$27,Assumptions!$B$28)))</x:f>
        <x:v>12.5</x:v>
      </x:c>
      <x:c r="T80" s="50" t="n">
        <x:f>ROUNDUP(MAX(S80,R80/(1-Assumptions!$B$6-Assumptions!$B$7))*2,0)/2</x:f>
        <x:v>41</x:v>
      </x:c>
      <x:c r="U80" s="54" t="n">
        <x:f>Assumptions!$B$5</x:f>
        <x:v>0.19</x:v>
      </x:c>
      <x:c r="V80" s="50" t="n">
        <x:f>T80*(1+U80)</x:f>
        <x:v>48.79</x:v>
      </x:c>
      <x:c r="W80" s="50" t="n">
        <x:f>T80*Assumptions!$B$6</x:f>
        <x:v>2.0500000000000003</x:v>
      </x:c>
      <x:c r="X80" s="50" t="n">
        <x:f>T80-R80-W80</x:f>
        <x:v>22.605909999999998</x:v>
      </x:c>
      <x:c r="Y80" s="54" t="n">
        <x:f>IFERROR(X80/T80,0)</x:f>
        <x:v>0.5513636585365853</x:v>
      </x:c>
      <x:c r="Z80" s="50" t="n">
        <x:v>12.9</x:v>
      </x:c>
      <x:c r="AA80" s="46" t="str"/>
    </x:row>
    <x:row r="81" ht="28" customHeight="1">
      <x:c r="A81" s="46" t="str">
        <x:v>SKU-080</x:v>
      </x:c>
      <x:c r="B81" s="46" t="str">
        <x:v>Modular coat-hook set</x:v>
      </x:c>
      <x:c r="C81" s="46" t="str">
        <x:v>M</x:v>
      </x:c>
      <x:c r="D81" s="46" t="str">
        <x:v>PETG</x:v>
      </x:c>
      <x:c r="E81" s="48" t="n">
        <x:v>360</x:v>
      </x:c>
      <x:c r="F81" s="48" t="n">
        <x:v>8.5</x:v>
      </x:c>
      <x:c r="G81" s="48" t="n">
        <x:v>22</x:v>
      </x:c>
      <x:c r="H81" s="50" t="n">
        <x:f>IF(C81="S",Assumptions!$B$19,IF(C81="M",Assumptions!$B$20,IF(C81="L",Assumptions!$B$21,Assumptions!$B$22)))</x:f>
        <x:v>1</x:v>
      </x:c>
      <x:c r="I81" s="50" t="n">
        <x:v>0</x:v>
      </x:c>
      <x:c r="J81" s="50" t="n">
        <x:f>IF(D81="PLA",Assumptions!$B$31,IF(D81="PETG",Assumptions!$B$32,IF(D81="ASA",Assumptions!$B$33,IF(D81="TPU",Assumptions!$B$34,IF(D81="PC Blend",Assumptions!$B$35,Assumptions!$B$36)))))</x:f>
        <x:v>26</x:v>
      </x:c>
      <x:c r="K81" s="54" t="n">
        <x:f>Assumptions!$B$9</x:f>
        <x:v>0.08</x:v>
      </x:c>
      <x:c r="L81" s="50" t="n">
        <x:f>E81/1000*J81*(1+K81)</x:f>
        <x:v>10.1088</x:v>
      </x:c>
      <x:c r="M81" s="46" t="str">
        <x:v>Core</x:v>
      </x:c>
      <x:c r="N81" s="50" t="n">
        <x:f>IF(M81="Core",Assumptions!$B$13,IF(M81="Large",Assumptions!$B$14,IF(M81="Enclosed",Assumptions!$B$15,Assumptions!$B$16)))</x:f>
        <x:v>0.75</x:v>
      </x:c>
      <x:c r="O81" s="50" t="n">
        <x:f>F81*N81</x:f>
        <x:v>6.375</x:v>
      </x:c>
      <x:c r="P81" s="50" t="n">
        <x:f>G81/60*Assumptions!$B$8</x:f>
        <x:v>11.733333333333333</x:v>
      </x:c>
      <x:c r="Q81" s="50" t="n">
        <x:f>(H81+I81+L81+O81+P81)*Assumptions!$B$10</x:f>
        <x:v>1.460856666666667</x:v>
      </x:c>
      <x:c r="R81" s="50" t="n">
        <x:f>H81+I81+L81+O81+P81+Q81</x:f>
        <x:v>30.677990000000005</x:v>
      </x:c>
      <x:c r="S81" s="50" t="n">
        <x:f>IF(C81="S",Assumptions!$B$25,IF(C81="M",Assumptions!$B$26,IF(C81="L",Assumptions!$B$27,Assumptions!$B$28)))</x:f>
        <x:v>12.5</x:v>
      </x:c>
      <x:c r="T81" s="50" t="n">
        <x:f>ROUNDUP(MAX(S81,R81/(1-Assumptions!$B$6-Assumptions!$B$7))*2,0)/2</x:f>
        <x:v>77</x:v>
      </x:c>
      <x:c r="U81" s="54" t="n">
        <x:f>Assumptions!$B$5</x:f>
        <x:v>0.19</x:v>
      </x:c>
      <x:c r="V81" s="50" t="n">
        <x:f>T81*(1+U81)</x:f>
        <x:v>91.63</x:v>
      </x:c>
      <x:c r="W81" s="50" t="n">
        <x:f>T81*Assumptions!$B$6</x:f>
        <x:v>3.85</x:v>
      </x:c>
      <x:c r="X81" s="50" t="n">
        <x:f>T81-R81-W81</x:f>
        <x:v>42.47200999999999</x:v>
      </x:c>
      <x:c r="Y81" s="54" t="n">
        <x:f>IFERROR(X81/T81,0)</x:f>
        <x:v>0.5515845454545454</x:v>
      </x:c>
      <x:c r="Z81" s="50" t="n">
        <x:v>12.9</x:v>
      </x:c>
      <x:c r="AA81" s="46" t="str"/>
    </x:row>
    <x:row r="82" ht="28" customHeight="1">
      <x:c r="A82" s="46" t="str">
        <x:v>SKU-081</x:v>
      </x:c>
      <x:c r="B82" s="46" t="str">
        <x:v>Pet leash and harness station</x:v>
      </x:c>
      <x:c r="C82" s="46" t="str">
        <x:v>M</x:v>
      </x:c>
      <x:c r="D82" s="46" t="str">
        <x:v>PETG</x:v>
      </x:c>
      <x:c r="E82" s="48" t="n">
        <x:v>440</x:v>
      </x:c>
      <x:c r="F82" s="48" t="n">
        <x:v>10.5</x:v>
      </x:c>
      <x:c r="G82" s="48" t="n">
        <x:v>24</x:v>
      </x:c>
      <x:c r="H82" s="50" t="n">
        <x:f>IF(C82="S",Assumptions!$B$19,IF(C82="M",Assumptions!$B$20,IF(C82="L",Assumptions!$B$21,Assumptions!$B$22)))</x:f>
        <x:v>1</x:v>
      </x:c>
      <x:c r="I82" s="50" t="n">
        <x:v>0</x:v>
      </x:c>
      <x:c r="J82" s="50" t="n">
        <x:f>IF(D82="PLA",Assumptions!$B$31,IF(D82="PETG",Assumptions!$B$32,IF(D82="ASA",Assumptions!$B$33,IF(D82="TPU",Assumptions!$B$34,IF(D82="PC Blend",Assumptions!$B$35,Assumptions!$B$36)))))</x:f>
        <x:v>26</x:v>
      </x:c>
      <x:c r="K82" s="54" t="n">
        <x:f>Assumptions!$B$9</x:f>
        <x:v>0.08</x:v>
      </x:c>
      <x:c r="L82" s="50" t="n">
        <x:f>E82/1000*J82*(1+K82)</x:f>
        <x:v>12.3552</x:v>
      </x:c>
      <x:c r="M82" s="46" t="str">
        <x:v>Core</x:v>
      </x:c>
      <x:c r="N82" s="50" t="n">
        <x:f>IF(M82="Core",Assumptions!$B$13,IF(M82="Large",Assumptions!$B$14,IF(M82="Enclosed",Assumptions!$B$15,Assumptions!$B$16)))</x:f>
        <x:v>0.75</x:v>
      </x:c>
      <x:c r="O82" s="50" t="n">
        <x:f>F82*N82</x:f>
        <x:v>7.875</x:v>
      </x:c>
      <x:c r="P82" s="50" t="n">
        <x:f>G82/60*Assumptions!$B$8</x:f>
        <x:v>12.8</x:v>
      </x:c>
      <x:c r="Q82" s="50" t="n">
        <x:f>(H82+I82+L82+O82+P82)*Assumptions!$B$10</x:f>
        <x:v>1.70151</x:v>
      </x:c>
      <x:c r="R82" s="50" t="n">
        <x:f>H82+I82+L82+O82+P82+Q82</x:f>
        <x:v>35.73171</x:v>
      </x:c>
      <x:c r="S82" s="50" t="n">
        <x:f>IF(C82="S",Assumptions!$B$25,IF(C82="M",Assumptions!$B$26,IF(C82="L",Assumptions!$B$27,Assumptions!$B$28)))</x:f>
        <x:v>12.5</x:v>
      </x:c>
      <x:c r="T82" s="50" t="n">
        <x:f>ROUNDUP(MAX(S82,R82/(1-Assumptions!$B$6-Assumptions!$B$7))*2,0)/2</x:f>
        <x:v>89.5</x:v>
      </x:c>
      <x:c r="U82" s="54" t="n">
        <x:f>Assumptions!$B$5</x:f>
        <x:v>0.19</x:v>
      </x:c>
      <x:c r="V82" s="50" t="n">
        <x:f>T82*(1+U82)</x:f>
        <x:v>106.505</x:v>
      </x:c>
      <x:c r="W82" s="50" t="n">
        <x:f>T82*Assumptions!$B$6</x:f>
        <x:v>4.4750000000000005</x:v>
      </x:c>
      <x:c r="X82" s="50" t="n">
        <x:f>T82-R82-W82</x:f>
        <x:v>49.29329</x:v>
      </x:c>
      <x:c r="Y82" s="54" t="n">
        <x:f>IFERROR(X82/T82,0)</x:f>
        <x:v>0.5507630167597766</x:v>
      </x:c>
      <x:c r="Z82" s="50" t="n">
        <x:v>14.9</x:v>
      </x:c>
      <x:c r="AA82" s="46" t="str"/>
    </x:row>
    <x:row r="83" ht="28" customHeight="1">
      <x:c r="A83" s="46" t="str">
        <x:v>SKU-082</x:v>
      </x:c>
      <x:c r="B83" s="46" t="str">
        <x:v>Tool-specific holder generator</x:v>
      </x:c>
      <x:c r="C83" s="46" t="str">
        <x:v>M</x:v>
      </x:c>
      <x:c r="D83" s="46" t="str">
        <x:v>PETG</x:v>
      </x:c>
      <x:c r="E83" s="48" t="n">
        <x:v>240</x:v>
      </x:c>
      <x:c r="F83" s="48" t="n">
        <x:v>5.6</x:v>
      </x:c>
      <x:c r="G83" s="48" t="n">
        <x:v>18</x:v>
      </x:c>
      <x:c r="H83" s="50" t="n">
        <x:f>IF(C83="S",Assumptions!$B$19,IF(C83="M",Assumptions!$B$20,IF(C83="L",Assumptions!$B$21,Assumptions!$B$22)))</x:f>
        <x:v>1</x:v>
      </x:c>
      <x:c r="I83" s="50" t="n">
        <x:v>0</x:v>
      </x:c>
      <x:c r="J83" s="50" t="n">
        <x:f>IF(D83="PLA",Assumptions!$B$31,IF(D83="PETG",Assumptions!$B$32,IF(D83="ASA",Assumptions!$B$33,IF(D83="TPU",Assumptions!$B$34,IF(D83="PC Blend",Assumptions!$B$35,Assumptions!$B$36)))))</x:f>
        <x:v>26</x:v>
      </x:c>
      <x:c r="K83" s="54" t="n">
        <x:f>Assumptions!$B$9</x:f>
        <x:v>0.08</x:v>
      </x:c>
      <x:c r="L83" s="50" t="n">
        <x:f>E83/1000*J83*(1+K83)</x:f>
        <x:v>6.7392</x:v>
      </x:c>
      <x:c r="M83" s="46" t="str">
        <x:v>Core</x:v>
      </x:c>
      <x:c r="N83" s="50" t="n">
        <x:f>IF(M83="Core",Assumptions!$B$13,IF(M83="Large",Assumptions!$B$14,IF(M83="Enclosed",Assumptions!$B$15,Assumptions!$B$16)))</x:f>
        <x:v>0.75</x:v>
      </x:c>
      <x:c r="O83" s="50" t="n">
        <x:f>F83*N83</x:f>
        <x:v>4.199999999999999</x:v>
      </x:c>
      <x:c r="P83" s="50" t="n">
        <x:f>G83/60*Assumptions!$B$8</x:f>
        <x:v>9.6</x:v>
      </x:c>
      <x:c r="Q83" s="50" t="n">
        <x:f>(H83+I83+L83+O83+P83)*Assumptions!$B$10</x:f>
        <x:v>1.0769600000000001</x:v>
      </x:c>
      <x:c r="R83" s="50" t="n">
        <x:f>H83+I83+L83+O83+P83+Q83</x:f>
        <x:v>22.61616</x:v>
      </x:c>
      <x:c r="S83" s="50" t="n">
        <x:f>IF(C83="S",Assumptions!$B$25,IF(C83="M",Assumptions!$B$26,IF(C83="L",Assumptions!$B$27,Assumptions!$B$28)))</x:f>
        <x:v>12.5</x:v>
      </x:c>
      <x:c r="T83" s="50" t="n">
        <x:f>ROUNDUP(MAX(S83,R83/(1-Assumptions!$B$6-Assumptions!$B$7))*2,0)/2</x:f>
        <x:v>57</x:v>
      </x:c>
      <x:c r="U83" s="54" t="n">
        <x:f>Assumptions!$B$5</x:f>
        <x:v>0.19</x:v>
      </x:c>
      <x:c r="V83" s="50" t="n">
        <x:f>T83*(1+U83)</x:f>
        <x:v>67.83</x:v>
      </x:c>
      <x:c r="W83" s="50" t="n">
        <x:f>T83*Assumptions!$B$6</x:f>
        <x:v>2.85</x:v>
      </x:c>
      <x:c r="X83" s="50" t="n">
        <x:f>T83-R83-W83</x:f>
        <x:v>31.533839999999998</x:v>
      </x:c>
      <x:c r="Y83" s="54" t="n">
        <x:f>IFERROR(X83/T83,0)</x:f>
        <x:v>0.5532252631578947</x:v>
      </x:c>
      <x:c r="Z83" s="50" t="n">
        <x:v>13.9</x:v>
      </x:c>
      <x:c r="AA83" s="46" t="str"/>
    </x:row>
    <x:row r="84" ht="28" customHeight="1">
      <x:c r="A84" s="46" t="str">
        <x:v>SKU-083</x:v>
      </x:c>
      <x:c r="B84" s="46" t="str">
        <x:v>Mail-and-key entry shelf</x:v>
      </x:c>
      <x:c r="C84" s="46" t="str">
        <x:v>M</x:v>
      </x:c>
      <x:c r="D84" s="46" t="str">
        <x:v>PETG</x:v>
      </x:c>
      <x:c r="E84" s="48" t="n">
        <x:v>430</x:v>
      </x:c>
      <x:c r="F84" s="48" t="n">
        <x:v>10.2</x:v>
      </x:c>
      <x:c r="G84" s="48" t="n">
        <x:v>22</x:v>
      </x:c>
      <x:c r="H84" s="50" t="n">
        <x:f>IF(C84="S",Assumptions!$B$19,IF(C84="M",Assumptions!$B$20,IF(C84="L",Assumptions!$B$21,Assumptions!$B$22)))</x:f>
        <x:v>1</x:v>
      </x:c>
      <x:c r="I84" s="50" t="n">
        <x:v>0</x:v>
      </x:c>
      <x:c r="J84" s="50" t="n">
        <x:f>IF(D84="PLA",Assumptions!$B$31,IF(D84="PETG",Assumptions!$B$32,IF(D84="ASA",Assumptions!$B$33,IF(D84="TPU",Assumptions!$B$34,IF(D84="PC Blend",Assumptions!$B$35,Assumptions!$B$36)))))</x:f>
        <x:v>26</x:v>
      </x:c>
      <x:c r="K84" s="54" t="n">
        <x:f>Assumptions!$B$9</x:f>
        <x:v>0.08</x:v>
      </x:c>
      <x:c r="L84" s="50" t="n">
        <x:f>E84/1000*J84*(1+K84)</x:f>
        <x:v>12.0744</x:v>
      </x:c>
      <x:c r="M84" s="46" t="str">
        <x:v>Core</x:v>
      </x:c>
      <x:c r="N84" s="50" t="n">
        <x:f>IF(M84="Core",Assumptions!$B$13,IF(M84="Large",Assumptions!$B$14,IF(M84="Enclosed",Assumptions!$B$15,Assumptions!$B$16)))</x:f>
        <x:v>0.75</x:v>
      </x:c>
      <x:c r="O84" s="50" t="n">
        <x:f>F84*N84</x:f>
        <x:v>7.6499999999999995</x:v>
      </x:c>
      <x:c r="P84" s="50" t="n">
        <x:f>G84/60*Assumptions!$B$8</x:f>
        <x:v>11.733333333333333</x:v>
      </x:c>
      <x:c r="Q84" s="50" t="n">
        <x:f>(H84+I84+L84+O84+P84)*Assumptions!$B$10</x:f>
        <x:v>1.6228866666666666</x:v>
      </x:c>
      <x:c r="R84" s="50" t="n">
        <x:f>H84+I84+L84+O84+P84+Q84</x:f>
        <x:v>34.080619999999996</x:v>
      </x:c>
      <x:c r="S84" s="50" t="n">
        <x:f>IF(C84="S",Assumptions!$B$25,IF(C84="M",Assumptions!$B$26,IF(C84="L",Assumptions!$B$27,Assumptions!$B$28)))</x:f>
        <x:v>12.5</x:v>
      </x:c>
      <x:c r="T84" s="50" t="n">
        <x:f>ROUNDUP(MAX(S84,R84/(1-Assumptions!$B$6-Assumptions!$B$7))*2,0)/2</x:f>
        <x:v>85.5</x:v>
      </x:c>
      <x:c r="U84" s="54" t="n">
        <x:f>Assumptions!$B$5</x:f>
        <x:v>0.19</x:v>
      </x:c>
      <x:c r="V84" s="50" t="n">
        <x:f>T84*(1+U84)</x:f>
        <x:v>101.74499999999999</x:v>
      </x:c>
      <x:c r="W84" s="50" t="n">
        <x:f>T84*Assumptions!$B$6</x:f>
        <x:v>4.275</x:v>
      </x:c>
      <x:c r="X84" s="50" t="n">
        <x:f>T84-R84-W84</x:f>
        <x:v>47.144380000000005</x:v>
      </x:c>
      <x:c r="Y84" s="54" t="n">
        <x:f>IFERROR(X84/T84,0)</x:f>
        <x:v>0.5513962573099416</x:v>
      </x:c>
      <x:c r="Z84" s="50" t="n">
        <x:v>14.9</x:v>
      </x:c>
      <x:c r="AA84" s="46" t="str"/>
    </x:row>
    <x:row r="85" ht="28" customHeight="1">
      <x:c r="A85" s="46" t="str">
        <x:v>SKU-084</x:v>
      </x:c>
      <x:c r="B85" s="46" t="str">
        <x:v>Custom TPU phone bumper case</x:v>
      </x:c>
      <x:c r="C85" s="46" t="str">
        <x:v>M</x:v>
      </x:c>
      <x:c r="D85" s="46" t="str">
        <x:v>TPU</x:v>
      </x:c>
      <x:c r="E85" s="48" t="n">
        <x:v>48</x:v>
      </x:c>
      <x:c r="F85" s="48" t="n">
        <x:v>2.6</x:v>
      </x:c>
      <x:c r="G85" s="48" t="n">
        <x:v>12</x:v>
      </x:c>
      <x:c r="H85" s="50" t="n">
        <x:f>IF(C85="S",Assumptions!$B$19,IF(C85="M",Assumptions!$B$20,IF(C85="L",Assumptions!$B$21,Assumptions!$B$22)))</x:f>
        <x:v>1</x:v>
      </x:c>
      <x:c r="I85" s="50" t="n">
        <x:v>0</x:v>
      </x:c>
      <x:c r="J85" s="50" t="n">
        <x:f>IF(D85="PLA",Assumptions!$B$31,IF(D85="PETG",Assumptions!$B$32,IF(D85="ASA",Assumptions!$B$33,IF(D85="TPU",Assumptions!$B$34,IF(D85="PC Blend",Assumptions!$B$35,Assumptions!$B$36)))))</x:f>
        <x:v>35</x:v>
      </x:c>
      <x:c r="K85" s="54" t="n">
        <x:f>Assumptions!$B$9</x:f>
        <x:v>0.08</x:v>
      </x:c>
      <x:c r="L85" s="50" t="n">
        <x:f>E85/1000*J85*(1+K85)</x:f>
        <x:v>1.8144</x:v>
      </x:c>
      <x:c r="M85" s="46" t="str">
        <x:v>Flexible</x:v>
      </x:c>
      <x:c r="N85" s="50" t="n">
        <x:f>IF(M85="Core",Assumptions!$B$13,IF(M85="Large",Assumptions!$B$14,IF(M85="Enclosed",Assumptions!$B$15,Assumptions!$B$16)))</x:f>
        <x:v>0.85</x:v>
      </x:c>
      <x:c r="O85" s="50" t="n">
        <x:f>F85*N85</x:f>
        <x:v>2.21</x:v>
      </x:c>
      <x:c r="P85" s="50" t="n">
        <x:f>G85/60*Assumptions!$B$8</x:f>
        <x:v>6.4</x:v>
      </x:c>
      <x:c r="Q85" s="50" t="n">
        <x:f>(H85+I85+L85+O85+P85)*Assumptions!$B$10</x:f>
        <x:v>0.5712200000000001</x:v>
      </x:c>
      <x:c r="R85" s="50" t="n">
        <x:f>H85+I85+L85+O85+P85+Q85</x:f>
        <x:v>11.99562</x:v>
      </x:c>
      <x:c r="S85" s="50" t="n">
        <x:f>IF(C85="S",Assumptions!$B$25,IF(C85="M",Assumptions!$B$26,IF(C85="L",Assumptions!$B$27,Assumptions!$B$28)))</x:f>
        <x:v>12.5</x:v>
      </x:c>
      <x:c r="T85" s="50" t="n">
        <x:f>ROUNDUP(MAX(S85,R85/(1-Assumptions!$B$6-Assumptions!$B$7))*2,0)/2</x:f>
        <x:v>30</x:v>
      </x:c>
      <x:c r="U85" s="54" t="n">
        <x:f>Assumptions!$B$5</x:f>
        <x:v>0.19</x:v>
      </x:c>
      <x:c r="V85" s="50" t="n">
        <x:f>T85*(1+U85)</x:f>
        <x:v>35.699999999999996</x:v>
      </x:c>
      <x:c r="W85" s="50" t="n">
        <x:f>T85*Assumptions!$B$6</x:f>
        <x:v>1.5</x:v>
      </x:c>
      <x:c r="X85" s="50" t="n">
        <x:f>T85-R85-W85</x:f>
        <x:v>16.504379999999998</x:v>
      </x:c>
      <x:c r="Y85" s="54" t="n">
        <x:f>IFERROR(X85/T85,0)</x:f>
        <x:v>0.5501459999999999</x:v>
      </x:c>
      <x:c r="Z85" s="50" t="n">
        <x:v>12.9</x:v>
      </x:c>
      <x:c r="AA85" s="46" t="str"/>
    </x:row>
    <x:row r="86" ht="28" customHeight="1">
      <x:c r="A86" s="46" t="str">
        <x:v>SKU-085</x:v>
      </x:c>
      <x:c r="B86" s="46" t="str">
        <x:v>Kinetic balance desk sculpture</x:v>
      </x:c>
      <x:c r="C86" s="46" t="str">
        <x:v>M</x:v>
      </x:c>
      <x:c r="D86" s="46" t="str">
        <x:v>PLA</x:v>
      </x:c>
      <x:c r="E86" s="48" t="n">
        <x:v>210</x:v>
      </x:c>
      <x:c r="F86" s="48" t="n">
        <x:v>5</x:v>
      </x:c>
      <x:c r="G86" s="48" t="n">
        <x:v>18</x:v>
      </x:c>
      <x:c r="H86" s="50" t="n">
        <x:f>IF(C86="S",Assumptions!$B$19,IF(C86="M",Assumptions!$B$20,IF(C86="L",Assumptions!$B$21,Assumptions!$B$22)))</x:f>
        <x:v>1</x:v>
      </x:c>
      <x:c r="I86" s="50" t="n">
        <x:v>0</x:v>
      </x:c>
      <x:c r="J86" s="50" t="n">
        <x:f>IF(D86="PLA",Assumptions!$B$31,IF(D86="PETG",Assumptions!$B$32,IF(D86="ASA",Assumptions!$B$33,IF(D86="TPU",Assumptions!$B$34,IF(D86="PC Blend",Assumptions!$B$35,Assumptions!$B$36)))))</x:f>
        <x:v>22</x:v>
      </x:c>
      <x:c r="K86" s="54" t="n">
        <x:f>Assumptions!$B$9</x:f>
        <x:v>0.08</x:v>
      </x:c>
      <x:c r="L86" s="50" t="n">
        <x:f>E86/1000*J86*(1+K86)</x:f>
        <x:v>4.9896</x:v>
      </x:c>
      <x:c r="M86" s="46" t="str">
        <x:v>Core</x:v>
      </x:c>
      <x:c r="N86" s="50" t="n">
        <x:f>IF(M86="Core",Assumptions!$B$13,IF(M86="Large",Assumptions!$B$14,IF(M86="Enclosed",Assumptions!$B$15,Assumptions!$B$16)))</x:f>
        <x:v>0.75</x:v>
      </x:c>
      <x:c r="O86" s="50" t="n">
        <x:f>F86*N86</x:f>
        <x:v>3.75</x:v>
      </x:c>
      <x:c r="P86" s="50" t="n">
        <x:f>G86/60*Assumptions!$B$8</x:f>
        <x:v>9.6</x:v>
      </x:c>
      <x:c r="Q86" s="50" t="n">
        <x:f>(H86+I86+L86+O86+P86)*Assumptions!$B$10</x:f>
        <x:v>0.96698</x:v>
      </x:c>
      <x:c r="R86" s="50" t="n">
        <x:f>H86+I86+L86+O86+P86+Q86</x:f>
        <x:v>20.306579999999997</x:v>
      </x:c>
      <x:c r="S86" s="50" t="n">
        <x:f>IF(C86="S",Assumptions!$B$25,IF(C86="M",Assumptions!$B$26,IF(C86="L",Assumptions!$B$27,Assumptions!$B$28)))</x:f>
        <x:v>12.5</x:v>
      </x:c>
      <x:c r="T86" s="50" t="n">
        <x:f>ROUNDUP(MAX(S86,R86/(1-Assumptions!$B$6-Assumptions!$B$7))*2,0)/2</x:f>
        <x:v>51</x:v>
      </x:c>
      <x:c r="U86" s="54" t="n">
        <x:f>Assumptions!$B$5</x:f>
        <x:v>0.19</x:v>
      </x:c>
      <x:c r="V86" s="50" t="n">
        <x:f>T86*(1+U86)</x:f>
        <x:v>60.69</x:v>
      </x:c>
      <x:c r="W86" s="50" t="n">
        <x:f>T86*Assumptions!$B$6</x:f>
        <x:v>2.5500000000000003</x:v>
      </x:c>
      <x:c r="X86" s="50" t="n">
        <x:f>T86-R86-W86</x:f>
        <x:v>28.143420000000003</x:v>
      </x:c>
      <x:c r="Y86" s="54" t="n">
        <x:f>IFERROR(X86/T86,0)</x:f>
        <x:v>0.5518317647058824</x:v>
      </x:c>
      <x:c r="Z86" s="50" t="n">
        <x:v>13.9</x:v>
      </x:c>
      <x:c r="AA86" s="46" t="str"/>
    </x:row>
    <x:row r="87" ht="28" customHeight="1">
      <x:c r="A87" s="46" t="str">
        <x:v>SKU-086</x:v>
      </x:c>
      <x:c r="B87" s="46" t="str">
        <x:v>Wall propagation-tube display</x:v>
      </x:c>
      <x:c r="C87" s="46" t="str">
        <x:v>M</x:v>
      </x:c>
      <x:c r="D87" s="46" t="str">
        <x:v>PETG</x:v>
      </x:c>
      <x:c r="E87" s="48" t="n">
        <x:v>330</x:v>
      </x:c>
      <x:c r="F87" s="48" t="n">
        <x:v>7.5</x:v>
      </x:c>
      <x:c r="G87" s="48" t="n">
        <x:v>18</x:v>
      </x:c>
      <x:c r="H87" s="50" t="n">
        <x:f>IF(C87="S",Assumptions!$B$19,IF(C87="M",Assumptions!$B$20,IF(C87="L",Assumptions!$B$21,Assumptions!$B$22)))</x:f>
        <x:v>1</x:v>
      </x:c>
      <x:c r="I87" s="50" t="n">
        <x:v>0</x:v>
      </x:c>
      <x:c r="J87" s="50" t="n">
        <x:f>IF(D87="PLA",Assumptions!$B$31,IF(D87="PETG",Assumptions!$B$32,IF(D87="ASA",Assumptions!$B$33,IF(D87="TPU",Assumptions!$B$34,IF(D87="PC Blend",Assumptions!$B$35,Assumptions!$B$36)))))</x:f>
        <x:v>26</x:v>
      </x:c>
      <x:c r="K87" s="54" t="n">
        <x:f>Assumptions!$B$9</x:f>
        <x:v>0.08</x:v>
      </x:c>
      <x:c r="L87" s="50" t="n">
        <x:f>E87/1000*J87*(1+K87)</x:f>
        <x:v>9.2664</x:v>
      </x:c>
      <x:c r="M87" s="46" t="str">
        <x:v>Core</x:v>
      </x:c>
      <x:c r="N87" s="50" t="n">
        <x:f>IF(M87="Core",Assumptions!$B$13,IF(M87="Large",Assumptions!$B$14,IF(M87="Enclosed",Assumptions!$B$15,Assumptions!$B$16)))</x:f>
        <x:v>0.75</x:v>
      </x:c>
      <x:c r="O87" s="50" t="n">
        <x:f>F87*N87</x:f>
        <x:v>5.625</x:v>
      </x:c>
      <x:c r="P87" s="50" t="n">
        <x:f>G87/60*Assumptions!$B$8</x:f>
        <x:v>9.6</x:v>
      </x:c>
      <x:c r="Q87" s="50" t="n">
        <x:f>(H87+I87+L87+O87+P87)*Assumptions!$B$10</x:f>
        <x:v>1.27457</x:v>
      </x:c>
      <x:c r="R87" s="50" t="n">
        <x:f>H87+I87+L87+O87+P87+Q87</x:f>
        <x:v>26.76597</x:v>
      </x:c>
      <x:c r="S87" s="50" t="n">
        <x:f>IF(C87="S",Assumptions!$B$25,IF(C87="M",Assumptions!$B$26,IF(C87="L",Assumptions!$B$27,Assumptions!$B$28)))</x:f>
        <x:v>12.5</x:v>
      </x:c>
      <x:c r="T87" s="50" t="n">
        <x:f>ROUNDUP(MAX(S87,R87/(1-Assumptions!$B$6-Assumptions!$B$7))*2,0)/2</x:f>
        <x:v>67</x:v>
      </x:c>
      <x:c r="U87" s="54" t="n">
        <x:f>Assumptions!$B$5</x:f>
        <x:v>0.19</x:v>
      </x:c>
      <x:c r="V87" s="50" t="n">
        <x:f>T87*(1+U87)</x:f>
        <x:v>79.72999999999999</x:v>
      </x:c>
      <x:c r="W87" s="50" t="n">
        <x:f>T87*Assumptions!$B$6</x:f>
        <x:v>3.35</x:v>
      </x:c>
      <x:c r="X87" s="50" t="n">
        <x:f>T87-R87-W87</x:f>
        <x:v>36.88403</x:v>
      </x:c>
      <x:c r="Y87" s="54" t="n">
        <x:f>IFERROR(X87/T87,0)</x:f>
        <x:v>0.5505079104477613</x:v>
      </x:c>
      <x:c r="Z87" s="50" t="n">
        <x:v>13.9</x:v>
      </x:c>
      <x:c r="AA87" s="46" t="str"/>
    </x:row>
    <x:row r="88" ht="28" customHeight="1">
      <x:c r="A88" s="46" t="str">
        <x:v>SKU-087</x:v>
      </x:c>
      <x:c r="B88" s="46" t="str">
        <x:v>Handheld-console ergonomic grip shell</x:v>
      </x:c>
      <x:c r="C88" s="46" t="str">
        <x:v>M</x:v>
      </x:c>
      <x:c r="D88" s="46" t="str">
        <x:v>PETG</x:v>
      </x:c>
      <x:c r="E88" s="48" t="n">
        <x:v>280</x:v>
      </x:c>
      <x:c r="F88" s="48" t="n">
        <x:v>8.2</x:v>
      </x:c>
      <x:c r="G88" s="48" t="n">
        <x:v>20</x:v>
      </x:c>
      <x:c r="H88" s="50" t="n">
        <x:f>IF(C88="S",Assumptions!$B$19,IF(C88="M",Assumptions!$B$20,IF(C88="L",Assumptions!$B$21,Assumptions!$B$22)))</x:f>
        <x:v>1</x:v>
      </x:c>
      <x:c r="I88" s="50" t="n">
        <x:v>0</x:v>
      </x:c>
      <x:c r="J88" s="50" t="n">
        <x:f>IF(D88="PLA",Assumptions!$B$31,IF(D88="PETG",Assumptions!$B$32,IF(D88="ASA",Assumptions!$B$33,IF(D88="TPU",Assumptions!$B$34,IF(D88="PC Blend",Assumptions!$B$35,Assumptions!$B$36)))))</x:f>
        <x:v>26</x:v>
      </x:c>
      <x:c r="K88" s="54" t="n">
        <x:f>Assumptions!$B$9</x:f>
        <x:v>0.08</x:v>
      </x:c>
      <x:c r="L88" s="50" t="n">
        <x:f>E88/1000*J88*(1+K88)</x:f>
        <x:v>7.862400000000002</x:v>
      </x:c>
      <x:c r="M88" s="46" t="str">
        <x:v>Flexible</x:v>
      </x:c>
      <x:c r="N88" s="50" t="n">
        <x:f>IF(M88="Core",Assumptions!$B$13,IF(M88="Large",Assumptions!$B$14,IF(M88="Enclosed",Assumptions!$B$15,Assumptions!$B$16)))</x:f>
        <x:v>0.85</x:v>
      </x:c>
      <x:c r="O88" s="50" t="n">
        <x:f>F88*N88</x:f>
        <x:v>6.969999999999999</x:v>
      </x:c>
      <x:c r="P88" s="50" t="n">
        <x:f>G88/60*Assumptions!$B$8</x:f>
        <x:v>10.666666666666666</x:v>
      </x:c>
      <x:c r="Q88" s="50" t="n">
        <x:f>(H88+I88+L88+O88+P88)*Assumptions!$B$10</x:f>
        <x:v>1.3249533333333332</x:v>
      </x:c>
      <x:c r="R88" s="50" t="n">
        <x:f>H88+I88+L88+O88+P88+Q88</x:f>
        <x:v>27.824019999999997</x:v>
      </x:c>
      <x:c r="S88" s="50" t="n">
        <x:f>IF(C88="S",Assumptions!$B$25,IF(C88="M",Assumptions!$B$26,IF(C88="L",Assumptions!$B$27,Assumptions!$B$28)))</x:f>
        <x:v>12.5</x:v>
      </x:c>
      <x:c r="T88" s="50" t="n">
        <x:f>ROUNDUP(MAX(S88,R88/(1-Assumptions!$B$6-Assumptions!$B$7))*2,0)/2</x:f>
        <x:v>70</x:v>
      </x:c>
      <x:c r="U88" s="54" t="n">
        <x:f>Assumptions!$B$5</x:f>
        <x:v>0.19</x:v>
      </x:c>
      <x:c r="V88" s="50" t="n">
        <x:f>T88*(1+U88)</x:f>
        <x:v>83.3</x:v>
      </x:c>
      <x:c r="W88" s="50" t="n">
        <x:f>T88*Assumptions!$B$6</x:f>
        <x:v>3.5</x:v>
      </x:c>
      <x:c r="X88" s="50" t="n">
        <x:f>T88-R88-W88</x:f>
        <x:v>38.67598</x:v>
      </x:c>
      <x:c r="Y88" s="54" t="n">
        <x:f>IFERROR(X88/T88,0)</x:f>
        <x:v>0.5525140000000001</x:v>
      </x:c>
      <x:c r="Z88" s="50" t="n">
        <x:v>14.9</x:v>
      </x:c>
      <x:c r="AA88" s="46" t="str"/>
    </x:row>
    <x:row r="89" ht="28" customHeight="1">
      <x:c r="A89" s="46" t="str">
        <x:v>SKU-088</x:v>
      </x:c>
      <x:c r="B89" s="46" t="str">
        <x:v>Drawer-handle replacement</x:v>
      </x:c>
      <x:c r="C89" s="46" t="str">
        <x:v>M</x:v>
      </x:c>
      <x:c r="D89" s="46" t="str">
        <x:v>PETG</x:v>
      </x:c>
      <x:c r="E89" s="48" t="n">
        <x:v>90</x:v>
      </x:c>
      <x:c r="F89" s="48" t="n">
        <x:v>2.7</x:v>
      </x:c>
      <x:c r="G89" s="48" t="n">
        <x:v>18</x:v>
      </x:c>
      <x:c r="H89" s="50" t="n">
        <x:f>IF(C89="S",Assumptions!$B$19,IF(C89="M",Assumptions!$B$20,IF(C89="L",Assumptions!$B$21,Assumptions!$B$22)))</x:f>
        <x:v>1</x:v>
      </x:c>
      <x:c r="I89" s="50" t="n">
        <x:v>0</x:v>
      </x:c>
      <x:c r="J89" s="50" t="n">
        <x:f>IF(D89="PLA",Assumptions!$B$31,IF(D89="PETG",Assumptions!$B$32,IF(D89="ASA",Assumptions!$B$33,IF(D89="TPU",Assumptions!$B$34,IF(D89="PC Blend",Assumptions!$B$35,Assumptions!$B$36)))))</x:f>
        <x:v>26</x:v>
      </x:c>
      <x:c r="K89" s="54" t="n">
        <x:f>Assumptions!$B$9</x:f>
        <x:v>0.08</x:v>
      </x:c>
      <x:c r="L89" s="50" t="n">
        <x:f>E89/1000*J89*(1+K89)</x:f>
        <x:v>2.5272</x:v>
      </x:c>
      <x:c r="M89" s="46" t="str">
        <x:v>Core</x:v>
      </x:c>
      <x:c r="N89" s="50" t="n">
        <x:f>IF(M89="Core",Assumptions!$B$13,IF(M89="Large",Assumptions!$B$14,IF(M89="Enclosed",Assumptions!$B$15,Assumptions!$B$16)))</x:f>
        <x:v>0.75</x:v>
      </x:c>
      <x:c r="O89" s="50" t="n">
        <x:f>F89*N89</x:f>
        <x:v>2.0250000000000004</x:v>
      </x:c>
      <x:c r="P89" s="50" t="n">
        <x:f>G89/60*Assumptions!$B$8</x:f>
        <x:v>9.6</x:v>
      </x:c>
      <x:c r="Q89" s="50" t="n">
        <x:f>(H89+I89+L89+O89+P89)*Assumptions!$B$10</x:f>
        <x:v>0.7576100000000001</x:v>
      </x:c>
      <x:c r="R89" s="50" t="n">
        <x:f>H89+I89+L89+O89+P89+Q89</x:f>
        <x:v>15.90981</x:v>
      </x:c>
      <x:c r="S89" s="50" t="n">
        <x:f>IF(C89="S",Assumptions!$B$25,IF(C89="M",Assumptions!$B$26,IF(C89="L",Assumptions!$B$27,Assumptions!$B$28)))</x:f>
        <x:v>12.5</x:v>
      </x:c>
      <x:c r="T89" s="50" t="n">
        <x:f>ROUNDUP(MAX(S89,R89/(1-Assumptions!$B$6-Assumptions!$B$7))*2,0)/2</x:f>
        <x:v>40</x:v>
      </x:c>
      <x:c r="U89" s="54" t="n">
        <x:f>Assumptions!$B$5</x:f>
        <x:v>0.19</x:v>
      </x:c>
      <x:c r="V89" s="50" t="n">
        <x:f>T89*(1+U89)</x:f>
        <x:v>47.599999999999994</x:v>
      </x:c>
      <x:c r="W89" s="50" t="n">
        <x:f>T89*Assumptions!$B$6</x:f>
        <x:v>2</x:v>
      </x:c>
      <x:c r="X89" s="50" t="n">
        <x:f>T89-R89-W89</x:f>
        <x:v>22.09019</x:v>
      </x:c>
      <x:c r="Y89" s="54" t="n">
        <x:f>IFERROR(X89/T89,0)</x:f>
        <x:v>0.55225475</x:v>
      </x:c>
      <x:c r="Z89" s="50" t="n">
        <x:v>12.9</x:v>
      </x:c>
      <x:c r="AA89" s="46" t="str"/>
    </x:row>
    <x:row r="90" ht="28" customHeight="1">
      <x:c r="A90" s="46" t="str">
        <x:v>SKU-089</x:v>
      </x:c>
      <x:c r="B90" s="46" t="str">
        <x:v>Hair-tool attachment and cable organizer</x:v>
      </x:c>
      <x:c r="C90" s="46" t="str">
        <x:v>M</x:v>
      </x:c>
      <x:c r="D90" s="46" t="str">
        <x:v>PETG</x:v>
      </x:c>
      <x:c r="E90" s="48" t="n">
        <x:v>360</x:v>
      </x:c>
      <x:c r="F90" s="48" t="n">
        <x:v>8.2</x:v>
      </x:c>
      <x:c r="G90" s="48" t="n">
        <x:v>20</x:v>
      </x:c>
      <x:c r="H90" s="50" t="n">
        <x:f>IF(C90="S",Assumptions!$B$19,IF(C90="M",Assumptions!$B$20,IF(C90="L",Assumptions!$B$21,Assumptions!$B$22)))</x:f>
        <x:v>1</x:v>
      </x:c>
      <x:c r="I90" s="50" t="n">
        <x:v>0</x:v>
      </x:c>
      <x:c r="J90" s="50" t="n">
        <x:f>IF(D90="PLA",Assumptions!$B$31,IF(D90="PETG",Assumptions!$B$32,IF(D90="ASA",Assumptions!$B$33,IF(D90="TPU",Assumptions!$B$34,IF(D90="PC Blend",Assumptions!$B$35,Assumptions!$B$36)))))</x:f>
        <x:v>26</x:v>
      </x:c>
      <x:c r="K90" s="54" t="n">
        <x:f>Assumptions!$B$9</x:f>
        <x:v>0.08</x:v>
      </x:c>
      <x:c r="L90" s="50" t="n">
        <x:f>E90/1000*J90*(1+K90)</x:f>
        <x:v>10.1088</x:v>
      </x:c>
      <x:c r="M90" s="46" t="str">
        <x:v>Core</x:v>
      </x:c>
      <x:c r="N90" s="50" t="n">
        <x:f>IF(M90="Core",Assumptions!$B$13,IF(M90="Large",Assumptions!$B$14,IF(M90="Enclosed",Assumptions!$B$15,Assumptions!$B$16)))</x:f>
        <x:v>0.75</x:v>
      </x:c>
      <x:c r="O90" s="50" t="n">
        <x:f>F90*N90</x:f>
        <x:v>6.1499999999999995</x:v>
      </x:c>
      <x:c r="P90" s="50" t="n">
        <x:f>G90/60*Assumptions!$B$8</x:f>
        <x:v>10.666666666666666</x:v>
      </x:c>
      <x:c r="Q90" s="50" t="n">
        <x:f>(H90+I90+L90+O90+P90)*Assumptions!$B$10</x:f>
        <x:v>1.3962733333333333</x:v>
      </x:c>
      <x:c r="R90" s="50" t="n">
        <x:f>H90+I90+L90+O90+P90+Q90</x:f>
        <x:v>29.32174</x:v>
      </x:c>
      <x:c r="S90" s="50" t="n">
        <x:f>IF(C90="S",Assumptions!$B$25,IF(C90="M",Assumptions!$B$26,IF(C90="L",Assumptions!$B$27,Assumptions!$B$28)))</x:f>
        <x:v>12.5</x:v>
      </x:c>
      <x:c r="T90" s="50" t="n">
        <x:f>ROUNDUP(MAX(S90,R90/(1-Assumptions!$B$6-Assumptions!$B$7))*2,0)/2</x:f>
        <x:v>73.5</x:v>
      </x:c>
      <x:c r="U90" s="54" t="n">
        <x:f>Assumptions!$B$5</x:f>
        <x:v>0.19</x:v>
      </x:c>
      <x:c r="V90" s="50" t="n">
        <x:f>T90*(1+U90)</x:f>
        <x:v>87.46499999999999</x:v>
      </x:c>
      <x:c r="W90" s="50" t="n">
        <x:f>T90*Assumptions!$B$6</x:f>
        <x:v>3.6750000000000003</x:v>
      </x:c>
      <x:c r="X90" s="50" t="n">
        <x:f>T90-R90-W90</x:f>
        <x:v>40.503260000000004</x:v>
      </x:c>
      <x:c r="Y90" s="54" t="n">
        <x:f>IFERROR(X90/T90,0)</x:f>
        <x:v>0.551064761904762</x:v>
      </x:c>
      <x:c r="Z90" s="50" t="n">
        <x:v>13.9</x:v>
      </x:c>
      <x:c r="AA90" s="46" t="str"/>
    </x:row>
    <x:row r="91" ht="28" customHeight="1">
      <x:c r="A91" s="46" t="str">
        <x:v>SKU-090</x:v>
      </x:c>
      <x:c r="B91" s="46" t="str">
        <x:v>Proprietary 20 mm-grid pegboard starter panel</x:v>
      </x:c>
      <x:c r="C91" s="46" t="str">
        <x:v>M</x:v>
      </x:c>
      <x:c r="D91" s="46" t="str">
        <x:v>PETG</x:v>
      </x:c>
      <x:c r="E91" s="48" t="n">
        <x:v>370</x:v>
      </x:c>
      <x:c r="F91" s="48" t="n">
        <x:v>8.5</x:v>
      </x:c>
      <x:c r="G91" s="48" t="n">
        <x:v>20</x:v>
      </x:c>
      <x:c r="H91" s="50" t="n">
        <x:f>IF(C91="S",Assumptions!$B$19,IF(C91="M",Assumptions!$B$20,IF(C91="L",Assumptions!$B$21,Assumptions!$B$22)))</x:f>
        <x:v>1</x:v>
      </x:c>
      <x:c r="I91" s="50" t="n">
        <x:v>0</x:v>
      </x:c>
      <x:c r="J91" s="50" t="n">
        <x:f>IF(D91="PLA",Assumptions!$B$31,IF(D91="PETG",Assumptions!$B$32,IF(D91="ASA",Assumptions!$B$33,IF(D91="TPU",Assumptions!$B$34,IF(D91="PC Blend",Assumptions!$B$35,Assumptions!$B$36)))))</x:f>
        <x:v>26</x:v>
      </x:c>
      <x:c r="K91" s="54" t="n">
        <x:f>Assumptions!$B$9</x:f>
        <x:v>0.08</x:v>
      </x:c>
      <x:c r="L91" s="50" t="n">
        <x:f>E91/1000*J91*(1+K91)</x:f>
        <x:v>10.3896</x:v>
      </x:c>
      <x:c r="M91" s="46" t="str">
        <x:v>Core</x:v>
      </x:c>
      <x:c r="N91" s="50" t="n">
        <x:f>IF(M91="Core",Assumptions!$B$13,IF(M91="Large",Assumptions!$B$14,IF(M91="Enclosed",Assumptions!$B$15,Assumptions!$B$16)))</x:f>
        <x:v>0.75</x:v>
      </x:c>
      <x:c r="O91" s="50" t="n">
        <x:f>F91*N91</x:f>
        <x:v>6.375</x:v>
      </x:c>
      <x:c r="P91" s="50" t="n">
        <x:f>G91/60*Assumptions!$B$8</x:f>
        <x:v>10.666666666666666</x:v>
      </x:c>
      <x:c r="Q91" s="50" t="n">
        <x:f>(H91+I91+L91+O91+P91)*Assumptions!$B$10</x:f>
        <x:v>1.4215633333333333</x:v>
      </x:c>
      <x:c r="R91" s="50" t="n">
        <x:f>H91+I91+L91+O91+P91+Q91</x:f>
        <x:v>29.852829999999997</x:v>
      </x:c>
      <x:c r="S91" s="50" t="n">
        <x:f>IF(C91="S",Assumptions!$B$25,IF(C91="M",Assumptions!$B$26,IF(C91="L",Assumptions!$B$27,Assumptions!$B$28)))</x:f>
        <x:v>12.5</x:v>
      </x:c>
      <x:c r="T91" s="50" t="n">
        <x:f>ROUNDUP(MAX(S91,R91/(1-Assumptions!$B$6-Assumptions!$B$7))*2,0)/2</x:f>
        <x:v>75</x:v>
      </x:c>
      <x:c r="U91" s="54" t="n">
        <x:f>Assumptions!$B$5</x:f>
        <x:v>0.19</x:v>
      </x:c>
      <x:c r="V91" s="50" t="n">
        <x:f>T91*(1+U91)</x:f>
        <x:v>89.25</x:v>
      </x:c>
      <x:c r="W91" s="50" t="n">
        <x:f>T91*Assumptions!$B$6</x:f>
        <x:v>3.75</x:v>
      </x:c>
      <x:c r="X91" s="50" t="n">
        <x:f>T91-R91-W91</x:f>
        <x:v>41.39717</x:v>
      </x:c>
      <x:c r="Y91" s="54" t="n">
        <x:f>IFERROR(X91/T91,0)</x:f>
        <x:v>0.5519622666666667</x:v>
      </x:c>
      <x:c r="Z91" s="50" t="n">
        <x:v>14.9</x:v>
      </x:c>
      <x:c r="AA91" s="46" t="str"/>
    </x:row>
    <x:row r="92" ht="28" customHeight="1">
      <x:c r="A92" s="46" t="str">
        <x:v>SKU-091</x:v>
      </x:c>
      <x:c r="B92" s="46" t="str">
        <x:v>Large custom architectural cachepot</x:v>
      </x:c>
      <x:c r="C92" s="46" t="str">
        <x:v>L</x:v>
      </x:c>
      <x:c r="D92" s="46" t="str">
        <x:v>ASA</x:v>
      </x:c>
      <x:c r="E92" s="48" t="n">
        <x:v>1900</x:v>
      </x:c>
      <x:c r="F92" s="48" t="n">
        <x:v>38</x:v>
      </x:c>
      <x:c r="G92" s="48" t="n">
        <x:v>35</x:v>
      </x:c>
      <x:c r="H92" s="50" t="n">
        <x:f>IF(C92="S",Assumptions!$B$19,IF(C92="M",Assumptions!$B$20,IF(C92="L",Assumptions!$B$21,Assumptions!$B$22)))</x:f>
        <x:v>1.8</x:v>
      </x:c>
      <x:c r="I92" s="50" t="n">
        <x:v>0</x:v>
      </x:c>
      <x:c r="J92" s="50" t="n">
        <x:f>IF(D92="PLA",Assumptions!$B$31,IF(D92="PETG",Assumptions!$B$32,IF(D92="ASA",Assumptions!$B$33,IF(D92="TPU",Assumptions!$B$34,IF(D92="PC Blend",Assumptions!$B$35,Assumptions!$B$36)))))</x:f>
        <x:v>32</x:v>
      </x:c>
      <x:c r="K92" s="54" t="n">
        <x:f>Assumptions!$B$9</x:f>
        <x:v>0.08</x:v>
      </x:c>
      <x:c r="L92" s="50" t="n">
        <x:f>E92/1000*J92*(1+K92)</x:f>
        <x:v>65.664</x:v>
      </x:c>
      <x:c r="M92" s="46" t="str">
        <x:v>Large</x:v>
      </x:c>
      <x:c r="N92" s="50" t="n">
        <x:f>IF(M92="Core",Assumptions!$B$13,IF(M92="Large",Assumptions!$B$14,IF(M92="Enclosed",Assumptions!$B$15,Assumptions!$B$16)))</x:f>
        <x:v>1.15</x:v>
      </x:c>
      <x:c r="O92" s="50" t="n">
        <x:f>F92*N92</x:f>
        <x:v>43.699999999999996</x:v>
      </x:c>
      <x:c r="P92" s="50" t="n">
        <x:f>G92/60*Assumptions!$B$8</x:f>
        <x:v>18.666666666666668</x:v>
      </x:c>
      <x:c r="Q92" s="50" t="n">
        <x:f>(H92+I92+L92+O92+P92)*Assumptions!$B$10</x:f>
        <x:v>6.491533333333333</x:v>
      </x:c>
      <x:c r="R92" s="50" t="n">
        <x:f>H92+I92+L92+O92+P92+Q92</x:f>
        <x:v>136.32219999999998</x:v>
      </x:c>
      <x:c r="S92" s="50" t="n">
        <x:f>IF(C92="S",Assumptions!$B$25,IF(C92="M",Assumptions!$B$26,IF(C92="L",Assumptions!$B$27,Assumptions!$B$28)))</x:f>
        <x:v>25</x:v>
      </x:c>
      <x:c r="T92" s="50" t="n">
        <x:f>ROUNDUP(MAX(S92,R92/(1-Assumptions!$B$6-Assumptions!$B$7))*2,0)/2</x:f>
        <x:v>341</x:v>
      </x:c>
      <x:c r="U92" s="54" t="n">
        <x:f>Assumptions!$B$5</x:f>
        <x:v>0.19</x:v>
      </x:c>
      <x:c r="V92" s="50" t="n">
        <x:f>T92*(1+U92)</x:f>
        <x:v>405.78999999999996</x:v>
      </x:c>
      <x:c r="W92" s="50" t="n">
        <x:f>T92*Assumptions!$B$6</x:f>
        <x:v>17.05</x:v>
      </x:c>
      <x:c r="X92" s="50" t="n">
        <x:f>T92-R92-W92</x:f>
        <x:v>187.6278</x:v>
      </x:c>
      <x:c r="Y92" s="54" t="n">
        <x:f>IFERROR(X92/T92,0)</x:f>
        <x:v>0.5502281524926687</x:v>
      </x:c>
      <x:c r="Z92" s="50" t="n">
        <x:v>19.9</x:v>
      </x:c>
      <x:c r="AA92" s="46" t="str"/>
    </x:row>
    <x:row r="93" ht="28" customHeight="1">
      <x:c r="A93" s="46" t="str">
        <x:v>SKU-092</x:v>
      </x:c>
      <x:c r="B93" s="46" t="str">
        <x:v>Pegboard mini-shelf module</x:v>
      </x:c>
      <x:c r="C93" s="46" t="str">
        <x:v>M</x:v>
      </x:c>
      <x:c r="D93" s="46" t="str">
        <x:v>PETG</x:v>
      </x:c>
      <x:c r="E93" s="48" t="n">
        <x:v>380</x:v>
      </x:c>
      <x:c r="F93" s="48" t="n">
        <x:v>8.5</x:v>
      </x:c>
      <x:c r="G93" s="48" t="n">
        <x:v>18</x:v>
      </x:c>
      <x:c r="H93" s="50" t="n">
        <x:f>IF(C93="S",Assumptions!$B$19,IF(C93="M",Assumptions!$B$20,IF(C93="L",Assumptions!$B$21,Assumptions!$B$22)))</x:f>
        <x:v>1</x:v>
      </x:c>
      <x:c r="I93" s="50" t="n">
        <x:v>0</x:v>
      </x:c>
      <x:c r="J93" s="50" t="n">
        <x:f>IF(D93="PLA",Assumptions!$B$31,IF(D93="PETG",Assumptions!$B$32,IF(D93="ASA",Assumptions!$B$33,IF(D93="TPU",Assumptions!$B$34,IF(D93="PC Blend",Assumptions!$B$35,Assumptions!$B$36)))))</x:f>
        <x:v>26</x:v>
      </x:c>
      <x:c r="K93" s="54" t="n">
        <x:f>Assumptions!$B$9</x:f>
        <x:v>0.08</x:v>
      </x:c>
      <x:c r="L93" s="50" t="n">
        <x:f>E93/1000*J93*(1+K93)</x:f>
        <x:v>10.6704</x:v>
      </x:c>
      <x:c r="M93" s="46" t="str">
        <x:v>Core</x:v>
      </x:c>
      <x:c r="N93" s="50" t="n">
        <x:f>IF(M93="Core",Assumptions!$B$13,IF(M93="Large",Assumptions!$B$14,IF(M93="Enclosed",Assumptions!$B$15,Assumptions!$B$16)))</x:f>
        <x:v>0.75</x:v>
      </x:c>
      <x:c r="O93" s="50" t="n">
        <x:f>F93*N93</x:f>
        <x:v>6.375</x:v>
      </x:c>
      <x:c r="P93" s="50" t="n">
        <x:f>G93/60*Assumptions!$B$8</x:f>
        <x:v>9.6</x:v>
      </x:c>
      <x:c r="Q93" s="50" t="n">
        <x:f>(H93+I93+L93+O93+P93)*Assumptions!$B$10</x:f>
        <x:v>1.38227</x:v>
      </x:c>
      <x:c r="R93" s="50" t="n">
        <x:f>H93+I93+L93+O93+P93+Q93</x:f>
        <x:v>29.02767</x:v>
      </x:c>
      <x:c r="S93" s="50" t="n">
        <x:f>IF(C93="S",Assumptions!$B$25,IF(C93="M",Assumptions!$B$26,IF(C93="L",Assumptions!$B$27,Assumptions!$B$28)))</x:f>
        <x:v>12.5</x:v>
      </x:c>
      <x:c r="T93" s="50" t="n">
        <x:f>ROUNDUP(MAX(S93,R93/(1-Assumptions!$B$6-Assumptions!$B$7))*2,0)/2</x:f>
        <x:v>73</x:v>
      </x:c>
      <x:c r="U93" s="54" t="n">
        <x:f>Assumptions!$B$5</x:f>
        <x:v>0.19</x:v>
      </x:c>
      <x:c r="V93" s="50" t="n">
        <x:f>T93*(1+U93)</x:f>
        <x:v>86.86999999999999</x:v>
      </x:c>
      <x:c r="W93" s="50" t="n">
        <x:f>T93*Assumptions!$B$6</x:f>
        <x:v>3.6500000000000004</x:v>
      </x:c>
      <x:c r="X93" s="50" t="n">
        <x:f>T93-R93-W93</x:f>
        <x:v>40.32233</x:v>
      </x:c>
      <x:c r="Y93" s="54" t="n">
        <x:f>IFERROR(X93/T93,0)</x:f>
        <x:v>0.5523606849315068</x:v>
      </x:c>
      <x:c r="Z93" s="50" t="n">
        <x:v>11.9</x:v>
      </x:c>
      <x:c r="AA93" s="46" t="str"/>
    </x:row>
    <x:row r="94" ht="28" customHeight="1">
      <x:c r="A94" s="46" t="str">
        <x:v>SKU-093</x:v>
      </x:c>
      <x:c r="B94" s="46" t="str">
        <x:v>Original articulated desk creature</x:v>
      </x:c>
      <x:c r="C94" s="46" t="str">
        <x:v>M</x:v>
      </x:c>
      <x:c r="D94" s="46" t="str">
        <x:v>PLA</x:v>
      </x:c>
      <x:c r="E94" s="48" t="n">
        <x:v>100</x:v>
      </x:c>
      <x:c r="F94" s="48" t="n">
        <x:v>3.2</x:v>
      </x:c>
      <x:c r="G94" s="48" t="n">
        <x:v>12</x:v>
      </x:c>
      <x:c r="H94" s="50" t="n">
        <x:f>IF(C94="S",Assumptions!$B$19,IF(C94="M",Assumptions!$B$20,IF(C94="L",Assumptions!$B$21,Assumptions!$B$22)))</x:f>
        <x:v>1</x:v>
      </x:c>
      <x:c r="I94" s="50" t="n">
        <x:v>0</x:v>
      </x:c>
      <x:c r="J94" s="50" t="n">
        <x:f>IF(D94="PLA",Assumptions!$B$31,IF(D94="PETG",Assumptions!$B$32,IF(D94="ASA",Assumptions!$B$33,IF(D94="TPU",Assumptions!$B$34,IF(D94="PC Blend",Assumptions!$B$35,Assumptions!$B$36)))))</x:f>
        <x:v>22</x:v>
      </x:c>
      <x:c r="K94" s="54" t="n">
        <x:f>Assumptions!$B$9</x:f>
        <x:v>0.08</x:v>
      </x:c>
      <x:c r="L94" s="50" t="n">
        <x:f>E94/1000*J94*(1+K94)</x:f>
        <x:v>2.3760000000000003</x:v>
      </x:c>
      <x:c r="M94" s="46" t="str">
        <x:v>Core</x:v>
      </x:c>
      <x:c r="N94" s="50" t="n">
        <x:f>IF(M94="Core",Assumptions!$B$13,IF(M94="Large",Assumptions!$B$14,IF(M94="Enclosed",Assumptions!$B$15,Assumptions!$B$16)))</x:f>
        <x:v>0.75</x:v>
      </x:c>
      <x:c r="O94" s="50" t="n">
        <x:f>F94*N94</x:f>
        <x:v>2.4000000000000004</x:v>
      </x:c>
      <x:c r="P94" s="50" t="n">
        <x:f>G94/60*Assumptions!$B$8</x:f>
        <x:v>6.4</x:v>
      </x:c>
      <x:c r="Q94" s="50" t="n">
        <x:f>(H94+I94+L94+O94+P94)*Assumptions!$B$10</x:f>
        <x:v>0.6088000000000001</x:v>
      </x:c>
      <x:c r="R94" s="50" t="n">
        <x:f>H94+I94+L94+O94+P94+Q94</x:f>
        <x:v>12.784800000000002</x:v>
      </x:c>
      <x:c r="S94" s="50" t="n">
        <x:f>IF(C94="S",Assumptions!$B$25,IF(C94="M",Assumptions!$B$26,IF(C94="L",Assumptions!$B$27,Assumptions!$B$28)))</x:f>
        <x:v>12.5</x:v>
      </x:c>
      <x:c r="T94" s="50" t="n">
        <x:f>ROUNDUP(MAX(S94,R94/(1-Assumptions!$B$6-Assumptions!$B$7))*2,0)/2</x:f>
        <x:v>32</x:v>
      </x:c>
      <x:c r="U94" s="54" t="n">
        <x:f>Assumptions!$B$5</x:f>
        <x:v>0.19</x:v>
      </x:c>
      <x:c r="V94" s="50" t="n">
        <x:f>T94*(1+U94)</x:f>
        <x:v>38.08</x:v>
      </x:c>
      <x:c r="W94" s="50" t="n">
        <x:f>T94*Assumptions!$B$6</x:f>
        <x:v>1.6</x:v>
      </x:c>
      <x:c r="X94" s="50" t="n">
        <x:f>T94-R94-W94</x:f>
        <x:v>17.615199999999994</x:v>
      </x:c>
      <x:c r="Y94" s="54" t="n">
        <x:f>IFERROR(X94/T94,0)</x:f>
        <x:v>0.5504749999999998</x:v>
      </x:c>
      <x:c r="Z94" s="50" t="n">
        <x:v>9.9</x:v>
      </x:c>
      <x:c r="AA94" s="46" t="str"/>
    </x:row>
    <x:row r="95" ht="28" customHeight="1">
      <x:c r="A95" s="46" t="str">
        <x:v>SKU-094</x:v>
      </x:c>
      <x:c r="B95" s="46" t="str">
        <x:v>E27 LED-only pendant lampshade</x:v>
      </x:c>
      <x:c r="C95" s="46" t="str">
        <x:v>M</x:v>
      </x:c>
      <x:c r="D95" s="46" t="str">
        <x:v>PETG</x:v>
      </x:c>
      <x:c r="E95" s="48" t="n">
        <x:v>520</x:v>
      </x:c>
      <x:c r="F95" s="48" t="n">
        <x:v>11</x:v>
      </x:c>
      <x:c r="G95" s="48" t="n">
        <x:v>22</x:v>
      </x:c>
      <x:c r="H95" s="50" t="n">
        <x:f>IF(C95="S",Assumptions!$B$19,IF(C95="M",Assumptions!$B$20,IF(C95="L",Assumptions!$B$21,Assumptions!$B$22)))</x:f>
        <x:v>1</x:v>
      </x:c>
      <x:c r="I95" s="50" t="n">
        <x:v>0</x:v>
      </x:c>
      <x:c r="J95" s="50" t="n">
        <x:f>IF(D95="PLA",Assumptions!$B$31,IF(D95="PETG",Assumptions!$B$32,IF(D95="ASA",Assumptions!$B$33,IF(D95="TPU",Assumptions!$B$34,IF(D95="PC Blend",Assumptions!$B$35,Assumptions!$B$36)))))</x:f>
        <x:v>26</x:v>
      </x:c>
      <x:c r="K95" s="54" t="n">
        <x:f>Assumptions!$B$9</x:f>
        <x:v>0.08</x:v>
      </x:c>
      <x:c r="L95" s="50" t="n">
        <x:f>E95/1000*J95*(1+K95)</x:f>
        <x:v>14.601600000000001</x:v>
      </x:c>
      <x:c r="M95" s="46" t="str">
        <x:v>Core</x:v>
      </x:c>
      <x:c r="N95" s="50" t="n">
        <x:f>IF(M95="Core",Assumptions!$B$13,IF(M95="Large",Assumptions!$B$14,IF(M95="Enclosed",Assumptions!$B$15,Assumptions!$B$16)))</x:f>
        <x:v>0.75</x:v>
      </x:c>
      <x:c r="O95" s="50" t="n">
        <x:f>F95*N95</x:f>
        <x:v>8.25</x:v>
      </x:c>
      <x:c r="P95" s="50" t="n">
        <x:f>G95/60*Assumptions!$B$8</x:f>
        <x:v>11.733333333333333</x:v>
      </x:c>
      <x:c r="Q95" s="50" t="n">
        <x:f>(H95+I95+L95+O95+P95)*Assumptions!$B$10</x:f>
        <x:v>1.7792466666666666</x:v>
      </x:c>
      <x:c r="R95" s="50" t="n">
        <x:f>H95+I95+L95+O95+P95+Q95</x:f>
        <x:v>37.36418</x:v>
      </x:c>
      <x:c r="S95" s="50" t="n">
        <x:f>IF(C95="S",Assumptions!$B$25,IF(C95="M",Assumptions!$B$26,IF(C95="L",Assumptions!$B$27,Assumptions!$B$28)))</x:f>
        <x:v>12.5</x:v>
      </x:c>
      <x:c r="T95" s="50" t="n">
        <x:f>ROUNDUP(MAX(S95,R95/(1-Assumptions!$B$6-Assumptions!$B$7))*2,0)/2</x:f>
        <x:v>93.5</x:v>
      </x:c>
      <x:c r="U95" s="54" t="n">
        <x:f>Assumptions!$B$5</x:f>
        <x:v>0.19</x:v>
      </x:c>
      <x:c r="V95" s="50" t="n">
        <x:f>T95*(1+U95)</x:f>
        <x:v>111.265</x:v>
      </x:c>
      <x:c r="W95" s="50" t="n">
        <x:f>T95*Assumptions!$B$6</x:f>
        <x:v>4.675</x:v>
      </x:c>
      <x:c r="X95" s="50" t="n">
        <x:f>T95-R95-W95</x:f>
        <x:v>51.460820000000005</x:v>
      </x:c>
      <x:c r="Y95" s="54" t="n">
        <x:f>IFERROR(X95/T95,0)</x:f>
        <x:v>0.5503831016042782</x:v>
      </x:c>
      <x:c r="Z95" s="50" t="n">
        <x:v>16.9</x:v>
      </x:c>
      <x:c r="AA95" s="46" t="str"/>
    </x:row>
    <x:row r="96" ht="28" customHeight="1">
      <x:c r="A96" s="46" t="str">
        <x:v>SKU-095</x:v>
      </x:c>
      <x:c r="B96" s="46" t="str">
        <x:v>Table-lamp replacement shade with ring adapter</x:v>
      </x:c>
      <x:c r="C96" s="46" t="str">
        <x:v>M</x:v>
      </x:c>
      <x:c r="D96" s="46" t="str">
        <x:v>PETG</x:v>
      </x:c>
      <x:c r="E96" s="48" t="n">
        <x:v>430</x:v>
      </x:c>
      <x:c r="F96" s="48" t="n">
        <x:v>9.5</x:v>
      </x:c>
      <x:c r="G96" s="48" t="n">
        <x:v>24</x:v>
      </x:c>
      <x:c r="H96" s="50" t="n">
        <x:f>IF(C96="S",Assumptions!$B$19,IF(C96="M",Assumptions!$B$20,IF(C96="L",Assumptions!$B$21,Assumptions!$B$22)))</x:f>
        <x:v>1</x:v>
      </x:c>
      <x:c r="I96" s="50" t="n">
        <x:v>0</x:v>
      </x:c>
      <x:c r="J96" s="50" t="n">
        <x:f>IF(D96="PLA",Assumptions!$B$31,IF(D96="PETG",Assumptions!$B$32,IF(D96="ASA",Assumptions!$B$33,IF(D96="TPU",Assumptions!$B$34,IF(D96="PC Blend",Assumptions!$B$35,Assumptions!$B$36)))))</x:f>
        <x:v>26</x:v>
      </x:c>
      <x:c r="K96" s="54" t="n">
        <x:f>Assumptions!$B$9</x:f>
        <x:v>0.08</x:v>
      </x:c>
      <x:c r="L96" s="50" t="n">
        <x:f>E96/1000*J96*(1+K96)</x:f>
        <x:v>12.0744</x:v>
      </x:c>
      <x:c r="M96" s="46" t="str">
        <x:v>Core</x:v>
      </x:c>
      <x:c r="N96" s="50" t="n">
        <x:f>IF(M96="Core",Assumptions!$B$13,IF(M96="Large",Assumptions!$B$14,IF(M96="Enclosed",Assumptions!$B$15,Assumptions!$B$16)))</x:f>
        <x:v>0.75</x:v>
      </x:c>
      <x:c r="O96" s="50" t="n">
        <x:f>F96*N96</x:f>
        <x:v>7.125</x:v>
      </x:c>
      <x:c r="P96" s="50" t="n">
        <x:f>G96/60*Assumptions!$B$8</x:f>
        <x:v>12.8</x:v>
      </x:c>
      <x:c r="Q96" s="50" t="n">
        <x:f>(H96+I96+L96+O96+P96)*Assumptions!$B$10</x:f>
        <x:v>1.6499700000000002</x:v>
      </x:c>
      <x:c r="R96" s="50" t="n">
        <x:f>H96+I96+L96+O96+P96+Q96</x:f>
        <x:v>34.649370000000005</x:v>
      </x:c>
      <x:c r="S96" s="50" t="n">
        <x:f>IF(C96="S",Assumptions!$B$25,IF(C96="M",Assumptions!$B$26,IF(C96="L",Assumptions!$B$27,Assumptions!$B$28)))</x:f>
        <x:v>12.5</x:v>
      </x:c>
      <x:c r="T96" s="50" t="n">
        <x:f>ROUNDUP(MAX(S96,R96/(1-Assumptions!$B$6-Assumptions!$B$7))*2,0)/2</x:f>
        <x:v>87</x:v>
      </x:c>
      <x:c r="U96" s="54" t="n">
        <x:f>Assumptions!$B$5</x:f>
        <x:v>0.19</x:v>
      </x:c>
      <x:c r="V96" s="50" t="n">
        <x:f>T96*(1+U96)</x:f>
        <x:v>103.53</x:v>
      </x:c>
      <x:c r="W96" s="50" t="n">
        <x:f>T96*Assumptions!$B$6</x:f>
        <x:v>4.3500000000000005</x:v>
      </x:c>
      <x:c r="X96" s="50" t="n">
        <x:f>T96-R96-W96</x:f>
        <x:v>48.000629999999994</x:v>
      </x:c>
      <x:c r="Y96" s="54" t="n">
        <x:f>IFERROR(X96/T96,0)</x:f>
        <x:v>0.5517313793103448</x:v>
      </x:c>
      <x:c r="Z96" s="50" t="n">
        <x:v>16.9</x:v>
      </x:c>
      <x:c r="AA96" s="46" t="str"/>
    </x:row>
    <x:row r="97" ht="28" customHeight="1">
      <x:c r="A97" s="46" t="str">
        <x:v>SKU-096</x:v>
      </x:c>
      <x:c r="B97" s="46" t="str">
        <x:v>Screw-mounted shower shelf</x:v>
      </x:c>
      <x:c r="C97" s="46" t="str">
        <x:v>M</x:v>
      </x:c>
      <x:c r="D97" s="46" t="str">
        <x:v>PETG</x:v>
      </x:c>
      <x:c r="E97" s="48" t="n">
        <x:v>450</x:v>
      </x:c>
      <x:c r="F97" s="48" t="n">
        <x:v>10.5</x:v>
      </x:c>
      <x:c r="G97" s="48" t="n">
        <x:v>25</x:v>
      </x:c>
      <x:c r="H97" s="50" t="n">
        <x:f>IF(C97="S",Assumptions!$B$19,IF(C97="M",Assumptions!$B$20,IF(C97="L",Assumptions!$B$21,Assumptions!$B$22)))</x:f>
        <x:v>1</x:v>
      </x:c>
      <x:c r="I97" s="50" t="n">
        <x:v>0</x:v>
      </x:c>
      <x:c r="J97" s="50" t="n">
        <x:f>IF(D97="PLA",Assumptions!$B$31,IF(D97="PETG",Assumptions!$B$32,IF(D97="ASA",Assumptions!$B$33,IF(D97="TPU",Assumptions!$B$34,IF(D97="PC Blend",Assumptions!$B$35,Assumptions!$B$36)))))</x:f>
        <x:v>26</x:v>
      </x:c>
      <x:c r="K97" s="54" t="n">
        <x:f>Assumptions!$B$9</x:f>
        <x:v>0.08</x:v>
      </x:c>
      <x:c r="L97" s="50" t="n">
        <x:f>E97/1000*J97*(1+K97)</x:f>
        <x:v>12.636000000000003</x:v>
      </x:c>
      <x:c r="M97" s="46" t="str">
        <x:v>Core</x:v>
      </x:c>
      <x:c r="N97" s="50" t="n">
        <x:f>IF(M97="Core",Assumptions!$B$13,IF(M97="Large",Assumptions!$B$14,IF(M97="Enclosed",Assumptions!$B$15,Assumptions!$B$16)))</x:f>
        <x:v>0.75</x:v>
      </x:c>
      <x:c r="O97" s="50" t="n">
        <x:f>F97*N97</x:f>
        <x:v>7.875</x:v>
      </x:c>
      <x:c r="P97" s="50" t="n">
        <x:f>G97/60*Assumptions!$B$8</x:f>
        <x:v>13.333333333333334</x:v>
      </x:c>
      <x:c r="Q97" s="50" t="n">
        <x:f>(H97+I97+L97+O97+P97)*Assumptions!$B$10</x:f>
        <x:v>1.742216666666667</x:v>
      </x:c>
      <x:c r="R97" s="50" t="n">
        <x:f>H97+I97+L97+O97+P97+Q97</x:f>
        <x:v>36.58655</x:v>
      </x:c>
      <x:c r="S97" s="50" t="n">
        <x:f>IF(C97="S",Assumptions!$B$25,IF(C97="M",Assumptions!$B$26,IF(C97="L",Assumptions!$B$27,Assumptions!$B$28)))</x:f>
        <x:v>12.5</x:v>
      </x:c>
      <x:c r="T97" s="50" t="n">
        <x:f>ROUNDUP(MAX(S97,R97/(1-Assumptions!$B$6-Assumptions!$B$7))*2,0)/2</x:f>
        <x:v>91.5</x:v>
      </x:c>
      <x:c r="U97" s="54" t="n">
        <x:f>Assumptions!$B$5</x:f>
        <x:v>0.19</x:v>
      </x:c>
      <x:c r="V97" s="50" t="n">
        <x:f>T97*(1+U97)</x:f>
        <x:v>108.88499999999999</x:v>
      </x:c>
      <x:c r="W97" s="50" t="n">
        <x:f>T97*Assumptions!$B$6</x:f>
        <x:v>4.575</x:v>
      </x:c>
      <x:c r="X97" s="50" t="n">
        <x:f>T97-R97-W97</x:f>
        <x:v>50.338449999999995</x:v>
      </x:c>
      <x:c r="Y97" s="54" t="n">
        <x:f>IFERROR(X97/T97,0)</x:f>
        <x:v>0.5501469945355191</x:v>
      </x:c>
      <x:c r="Z97" s="50" t="n">
        <x:v>15.9</x:v>
      </x:c>
      <x:c r="AA97" s="46" t="str"/>
    </x:row>
    <x:row r="98" ht="28" customHeight="1">
      <x:c r="A98" s="46" t="str">
        <x:v>SKU-097</x:v>
      </x:c>
      <x:c r="B98" s="46" t="str">
        <x:v>Hanging planter with certified cord interface</x:v>
      </x:c>
      <x:c r="C98" s="46" t="str">
        <x:v>M</x:v>
      </x:c>
      <x:c r="D98" s="46" t="str">
        <x:v>PETG</x:v>
      </x:c>
      <x:c r="E98" s="48" t="n">
        <x:v>680</x:v>
      </x:c>
      <x:c r="F98" s="48" t="n">
        <x:v>16.5</x:v>
      </x:c>
      <x:c r="G98" s="48" t="n">
        <x:v>28</x:v>
      </x:c>
      <x:c r="H98" s="50" t="n">
        <x:f>IF(C98="S",Assumptions!$B$19,IF(C98="M",Assumptions!$B$20,IF(C98="L",Assumptions!$B$21,Assumptions!$B$22)))</x:f>
        <x:v>1</x:v>
      </x:c>
      <x:c r="I98" s="50" t="n">
        <x:v>0</x:v>
      </x:c>
      <x:c r="J98" s="50" t="n">
        <x:f>IF(D98="PLA",Assumptions!$B$31,IF(D98="PETG",Assumptions!$B$32,IF(D98="ASA",Assumptions!$B$33,IF(D98="TPU",Assumptions!$B$34,IF(D98="PC Blend",Assumptions!$B$35,Assumptions!$B$36)))))</x:f>
        <x:v>26</x:v>
      </x:c>
      <x:c r="K98" s="54" t="n">
        <x:f>Assumptions!$B$9</x:f>
        <x:v>0.08</x:v>
      </x:c>
      <x:c r="L98" s="50" t="n">
        <x:f>E98/1000*J98*(1+K98)</x:f>
        <x:v>19.0944</x:v>
      </x:c>
      <x:c r="M98" s="46" t="str">
        <x:v>Core</x:v>
      </x:c>
      <x:c r="N98" s="50" t="n">
        <x:f>IF(M98="Core",Assumptions!$B$13,IF(M98="Large",Assumptions!$B$14,IF(M98="Enclosed",Assumptions!$B$15,Assumptions!$B$16)))</x:f>
        <x:v>0.75</x:v>
      </x:c>
      <x:c r="O98" s="50" t="n">
        <x:f>F98*N98</x:f>
        <x:v>12.375</x:v>
      </x:c>
      <x:c r="P98" s="50" t="n">
        <x:f>G98/60*Assumptions!$B$8</x:f>
        <x:v>14.933333333333334</x:v>
      </x:c>
      <x:c r="Q98" s="50" t="n">
        <x:f>(H98+I98+L98+O98+P98)*Assumptions!$B$10</x:f>
        <x:v>2.370136666666667</x:v>
      </x:c>
      <x:c r="R98" s="50" t="n">
        <x:f>H98+I98+L98+O98+P98+Q98</x:f>
        <x:v>49.77287</x:v>
      </x:c>
      <x:c r="S98" s="50" t="n">
        <x:f>IF(C98="S",Assumptions!$B$25,IF(C98="M",Assumptions!$B$26,IF(C98="L",Assumptions!$B$27,Assumptions!$B$28)))</x:f>
        <x:v>12.5</x:v>
      </x:c>
      <x:c r="T98" s="50" t="n">
        <x:f>ROUNDUP(MAX(S98,R98/(1-Assumptions!$B$6-Assumptions!$B$7))*2,0)/2</x:f>
        <x:v>124.5</x:v>
      </x:c>
      <x:c r="U98" s="54" t="n">
        <x:f>Assumptions!$B$5</x:f>
        <x:v>0.19</x:v>
      </x:c>
      <x:c r="V98" s="50" t="n">
        <x:f>T98*(1+U98)</x:f>
        <x:v>148.155</x:v>
      </x:c>
      <x:c r="W98" s="50" t="n">
        <x:f>T98*Assumptions!$B$6</x:f>
        <x:v>6.2250000000000005</x:v>
      </x:c>
      <x:c r="X98" s="50" t="n">
        <x:f>T98-R98-W98</x:f>
        <x:v>68.50213000000001</x:v>
      </x:c>
      <x:c r="Y98" s="54" t="n">
        <x:f>IFERROR(X98/T98,0)</x:f>
        <x:v>0.5502179116465864</x:v>
      </x:c>
      <x:c r="Z98" s="50" t="n">
        <x:v>16.9</x:v>
      </x:c>
      <x:c r="AA98" s="46" t="str"/>
    </x:row>
    <x:row r="99" ht="28" customHeight="1">
      <x:c r="A99" s="46" t="str">
        <x:v>SKU-098</x:v>
      </x:c>
      <x:c r="B99" s="46" t="str">
        <x:v>Leak-qualified PETG flower vase</x:v>
      </x:c>
      <x:c r="C99" s="46" t="str">
        <x:v>M</x:v>
      </x:c>
      <x:c r="D99" s="46" t="str">
        <x:v>PETG</x:v>
      </x:c>
      <x:c r="E99" s="48" t="n">
        <x:v>590</x:v>
      </x:c>
      <x:c r="F99" s="48" t="n">
        <x:v>12.5</x:v>
      </x:c>
      <x:c r="G99" s="48" t="n">
        <x:v>22</x:v>
      </x:c>
      <x:c r="H99" s="50" t="n">
        <x:f>IF(C99="S",Assumptions!$B$19,IF(C99="M",Assumptions!$B$20,IF(C99="L",Assumptions!$B$21,Assumptions!$B$22)))</x:f>
        <x:v>1</x:v>
      </x:c>
      <x:c r="I99" s="50" t="n">
        <x:v>0</x:v>
      </x:c>
      <x:c r="J99" s="50" t="n">
        <x:f>IF(D99="PLA",Assumptions!$B$31,IF(D99="PETG",Assumptions!$B$32,IF(D99="ASA",Assumptions!$B$33,IF(D99="TPU",Assumptions!$B$34,IF(D99="PC Blend",Assumptions!$B$35,Assumptions!$B$36)))))</x:f>
        <x:v>26</x:v>
      </x:c>
      <x:c r="K99" s="54" t="n">
        <x:f>Assumptions!$B$9</x:f>
        <x:v>0.08</x:v>
      </x:c>
      <x:c r="L99" s="50" t="n">
        <x:f>E99/1000*J99*(1+K99)</x:f>
        <x:v>16.5672</x:v>
      </x:c>
      <x:c r="M99" s="46" t="str">
        <x:v>Core</x:v>
      </x:c>
      <x:c r="N99" s="50" t="n">
        <x:f>IF(M99="Core",Assumptions!$B$13,IF(M99="Large",Assumptions!$B$14,IF(M99="Enclosed",Assumptions!$B$15,Assumptions!$B$16)))</x:f>
        <x:v>0.75</x:v>
      </x:c>
      <x:c r="O99" s="50" t="n">
        <x:f>F99*N99</x:f>
        <x:v>9.375</x:v>
      </x:c>
      <x:c r="P99" s="50" t="n">
        <x:f>G99/60*Assumptions!$B$8</x:f>
        <x:v>11.733333333333333</x:v>
      </x:c>
      <x:c r="Q99" s="50" t="n">
        <x:f>(H99+I99+L99+O99+P99)*Assumptions!$B$10</x:f>
        <x:v>1.9337766666666667</x:v>
      </x:c>
      <x:c r="R99" s="50" t="n">
        <x:f>H99+I99+L99+O99+P99+Q99</x:f>
        <x:v>40.60931</x:v>
      </x:c>
      <x:c r="S99" s="50" t="n">
        <x:f>IF(C99="S",Assumptions!$B$25,IF(C99="M",Assumptions!$B$26,IF(C99="L",Assumptions!$B$27,Assumptions!$B$28)))</x:f>
        <x:v>12.5</x:v>
      </x:c>
      <x:c r="T99" s="50" t="n">
        <x:f>ROUNDUP(MAX(S99,R99/(1-Assumptions!$B$6-Assumptions!$B$7))*2,0)/2</x:f>
        <x:v>102</x:v>
      </x:c>
      <x:c r="U99" s="54" t="n">
        <x:f>Assumptions!$B$5</x:f>
        <x:v>0.19</x:v>
      </x:c>
      <x:c r="V99" s="50" t="n">
        <x:f>T99*(1+U99)</x:f>
        <x:v>121.38</x:v>
      </x:c>
      <x:c r="W99" s="50" t="n">
        <x:f>T99*Assumptions!$B$6</x:f>
        <x:v>5.1000000000000005</x:v>
      </x:c>
      <x:c r="X99" s="50" t="n">
        <x:f>T99-R99-W99</x:f>
        <x:v>56.29069</x:v>
      </x:c>
      <x:c r="Y99" s="54" t="n">
        <x:f>IFERROR(X99/T99,0)</x:f>
        <x:v>0.5518695098039216</x:v>
      </x:c>
      <x:c r="Z99" s="50" t="n">
        <x:v>15.9</x:v>
      </x:c>
      <x:c r="AA99" s="46" t="str"/>
    </x:row>
    <x:row r="100" ht="28" customHeight="1">
      <x:c r="A100" s="46" t="str">
        <x:v>SKU-099</x:v>
      </x:c>
      <x:c r="B100" s="46" t="str">
        <x:v>Non-safety-critical appliance control knob</x:v>
      </x:c>
      <x:c r="C100" s="46" t="str">
        <x:v>S</x:v>
      </x:c>
      <x:c r="D100" s="46" t="str">
        <x:v>ASA</x:v>
      </x:c>
      <x:c r="E100" s="48" t="n">
        <x:v>55</x:v>
      </x:c>
      <x:c r="F100" s="48" t="n">
        <x:v>2.2</x:v>
      </x:c>
      <x:c r="G100" s="48" t="n">
        <x:v>30</x:v>
      </x:c>
      <x:c r="H100" s="50" t="n">
        <x:f>IF(C100="S",Assumptions!$B$19,IF(C100="M",Assumptions!$B$20,IF(C100="L",Assumptions!$B$21,Assumptions!$B$22)))</x:f>
        <x:v>0.6</x:v>
      </x:c>
      <x:c r="I100" s="50" t="n">
        <x:v>0</x:v>
      </x:c>
      <x:c r="J100" s="50" t="n">
        <x:f>IF(D100="PLA",Assumptions!$B$31,IF(D100="PETG",Assumptions!$B$32,IF(D100="ASA",Assumptions!$B$33,IF(D100="TPU",Assumptions!$B$34,IF(D100="PC Blend",Assumptions!$B$35,Assumptions!$B$36)))))</x:f>
        <x:v>32</x:v>
      </x:c>
      <x:c r="K100" s="54" t="n">
        <x:f>Assumptions!$B$9</x:f>
        <x:v>0.08</x:v>
      </x:c>
      <x:c r="L100" s="50" t="n">
        <x:f>E100/1000*J100*(1+K100)</x:f>
        <x:v>1.9008</x:v>
      </x:c>
      <x:c r="M100" s="46" t="str">
        <x:v>Enclosed</x:v>
      </x:c>
      <x:c r="N100" s="50" t="n">
        <x:f>IF(M100="Core",Assumptions!$B$13,IF(M100="Large",Assumptions!$B$14,IF(M100="Enclosed",Assumptions!$B$15,Assumptions!$B$16)))</x:f>
        <x:v>0.95</x:v>
      </x:c>
      <x:c r="O100" s="50" t="n">
        <x:f>F100*N100</x:f>
        <x:v>2.09</x:v>
      </x:c>
      <x:c r="P100" s="50" t="n">
        <x:f>G100/60*Assumptions!$B$8</x:f>
        <x:v>16</x:v>
      </x:c>
      <x:c r="Q100" s="50" t="n">
        <x:f>(H100+I100+L100+O100+P100)*Assumptions!$B$10</x:f>
        <x:v>1.0295400000000001</x:v>
      </x:c>
      <x:c r="R100" s="50" t="n">
        <x:f>H100+I100+L100+O100+P100+Q100</x:f>
        <x:v>21.620340000000002</x:v>
      </x:c>
      <x:c r="S100" s="50" t="n">
        <x:f>IF(C100="S",Assumptions!$B$25,IF(C100="M",Assumptions!$B$26,IF(C100="L",Assumptions!$B$27,Assumptions!$B$28)))</x:f>
        <x:v>7.5</x:v>
      </x:c>
      <x:c r="T100" s="50" t="n">
        <x:f>ROUNDUP(MAX(S100,R100/(1-Assumptions!$B$6-Assumptions!$B$7))*2,0)/2</x:f>
        <x:v>54.5</x:v>
      </x:c>
      <x:c r="U100" s="54" t="n">
        <x:f>Assumptions!$B$5</x:f>
        <x:v>0.19</x:v>
      </x:c>
      <x:c r="V100" s="50" t="n">
        <x:f>T100*(1+U100)</x:f>
        <x:v>64.855</x:v>
      </x:c>
      <x:c r="W100" s="50" t="n">
        <x:f>T100*Assumptions!$B$6</x:f>
        <x:v>2.725</x:v>
      </x:c>
      <x:c r="X100" s="50" t="n">
        <x:f>T100-R100-W100</x:f>
        <x:v>30.15466</x:v>
      </x:c>
      <x:c r="Y100" s="54" t="n">
        <x:f>IFERROR(X100/T100,0)</x:f>
        <x:v>0.5532965137614679</x:v>
      </x:c>
      <x:c r="Z100" s="50" t="n">
        <x:v>19.9</x:v>
      </x:c>
      <x:c r="AA100" s="46" t="str"/>
    </x:row>
    <x:row r="101" ht="28" customHeight="1">
      <x:c r="A101" s="46" t="str">
        <x:v>SKU-100</x:v>
      </x:c>
      <x:c r="B101" s="46" t="str">
        <x:v>Modular large geometric lampshade</x:v>
      </x:c>
      <x:c r="C101" s="46" t="str">
        <x:v>M</x:v>
      </x:c>
      <x:c r="D101" s="46" t="str">
        <x:v>PETG</x:v>
      </x:c>
      <x:c r="E101" s="48" t="n">
        <x:v>1250</x:v>
      </x:c>
      <x:c r="F101" s="48" t="n">
        <x:v>28</x:v>
      </x:c>
      <x:c r="G101" s="48" t="n">
        <x:v>45</x:v>
      </x:c>
      <x:c r="H101" s="50" t="n">
        <x:f>IF(C101="S",Assumptions!$B$19,IF(C101="M",Assumptions!$B$20,IF(C101="L",Assumptions!$B$21,Assumptions!$B$22)))</x:f>
        <x:v>1</x:v>
      </x:c>
      <x:c r="I101" s="50" t="n">
        <x:v>0</x:v>
      </x:c>
      <x:c r="J101" s="50" t="n">
        <x:f>IF(D101="PLA",Assumptions!$B$31,IF(D101="PETG",Assumptions!$B$32,IF(D101="ASA",Assumptions!$B$33,IF(D101="TPU",Assumptions!$B$34,IF(D101="PC Blend",Assumptions!$B$35,Assumptions!$B$36)))))</x:f>
        <x:v>26</x:v>
      </x:c>
      <x:c r="K101" s="54" t="n">
        <x:f>Assumptions!$B$9</x:f>
        <x:v>0.08</x:v>
      </x:c>
      <x:c r="L101" s="50" t="n">
        <x:f>E101/1000*J101*(1+K101)</x:f>
        <x:v>35.1</x:v>
      </x:c>
      <x:c r="M101" s="46" t="str">
        <x:v>Core</x:v>
      </x:c>
      <x:c r="N101" s="50" t="n">
        <x:f>IF(M101="Core",Assumptions!$B$13,IF(M101="Large",Assumptions!$B$14,IF(M101="Enclosed",Assumptions!$B$15,Assumptions!$B$16)))</x:f>
        <x:v>0.75</x:v>
      </x:c>
      <x:c r="O101" s="50" t="n">
        <x:f>F101*N101</x:f>
        <x:v>21</x:v>
      </x:c>
      <x:c r="P101" s="50" t="n">
        <x:f>G101/60*Assumptions!$B$8</x:f>
        <x:v>24</x:v>
      </x:c>
      <x:c r="Q101" s="50" t="n">
        <x:f>(H101+I101+L101+O101+P101)*Assumptions!$B$10</x:f>
        <x:v>4.055</x:v>
      </x:c>
      <x:c r="R101" s="50" t="n">
        <x:f>H101+I101+L101+O101+P101+Q101</x:f>
        <x:v>85.155</x:v>
      </x:c>
      <x:c r="S101" s="50" t="n">
        <x:f>IF(C101="S",Assumptions!$B$25,IF(C101="M",Assumptions!$B$26,IF(C101="L",Assumptions!$B$27,Assumptions!$B$28)))</x:f>
        <x:v>12.5</x:v>
      </x:c>
      <x:c r="T101" s="50" t="n">
        <x:f>ROUNDUP(MAX(S101,R101/(1-Assumptions!$B$6-Assumptions!$B$7))*2,0)/2</x:f>
        <x:v>213</x:v>
      </x:c>
      <x:c r="U101" s="54" t="n">
        <x:f>Assumptions!$B$5</x:f>
        <x:v>0.19</x:v>
      </x:c>
      <x:c r="V101" s="50" t="n">
        <x:f>T101*(1+U101)</x:f>
        <x:v>253.47</x:v>
      </x:c>
      <x:c r="W101" s="50" t="n">
        <x:f>T101*Assumptions!$B$6</x:f>
        <x:v>10.65</x:v>
      </x:c>
      <x:c r="X101" s="50" t="n">
        <x:f>T101-R101-W101</x:f>
        <x:v>117.195</x:v>
      </x:c>
      <x:c r="Y101" s="54" t="n">
        <x:f>IFERROR(X101/T101,0)</x:f>
        <x:v>0.5502112676056338</x:v>
      </x:c>
      <x:c r="Z101" s="50" t="n">
        <x:v>19.9</x:v>
      </x:c>
      <x:c r="AA101" s="46" t="str"/>
    </x:row>
  </x:sheetData>
  <x:conditionalFormatting sqref="Y2:Y101">
    <x:cfRule type="colorScale" priority="1">
      <x:colorScale>
        <x:cfvo type="min"/>
        <x:cfvo type="percentile" val="50"/>
        <x:cfvo type="max"/>
        <x:color rgb="FFFBE8E7"/>
        <x:color rgb="FFFFF4D6"/>
        <x:color rgb="FFE6F4ED"/>
      </x:colorScale>
    </x:cfRule>
  </x:conditionalFormatting>
  <x:conditionalFormatting sqref="V2:V101">
    <x:cfRule type="dataBar" priority="2">
      <x:dataBar>
        <x:cfvo type="min"/>
        <x:cfvo type="max"/>
        <x:color rgb="FF2A7F82"/>
      </x:dataBar>
      <x:extLst>
        <x:ext xmlns:x14="http://schemas.microsoft.com/office/spreadsheetml/2009/9/main" uri="{B025F937-C7B1-47D3-B67F-A62EFF666E3E}">
          <x14:id>{D4EE4488-AEB5-41CE-303D-9665B72DA99E}</x14:id>
        </x:ext>
      </x:extLst>
    </x:cfRule>
  </x:conditionalFormatting>
  <x:dataValidations count="3">
    <x:dataValidation type="list" sqref="C2:C101">
      <x:formula1>"S,M,L,XL"</x:formula1>
    </x:dataValidation>
    <x:dataValidation type="list" sqref="D2:D101">
      <x:formula1>"PLA,PETG,ASA,TPU,PC Blend,PA / Engineering"</x:formula1>
    </x:dataValidation>
    <x:dataValidation type="list" sqref="M2:M101">
      <x:formula1>"Core,Large,Enclosed,Flexible"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7ada320ab14a9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4EE4488-AEB5-41CE-303D-9665B72DA99E}">
            <x14:dataBar gradient="1">
              <x14:cfvo type="min"/>
              <x14:cfvo type="max"/>
              <x14:fillColor rgb="FF2A7F82"/>
            </x14:dataBar>
          </x14:cfRule>
          <xm:sqref>V2:V101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3" hidden="0" customWidth="1"/>
    <x:col min="4" max="4" width="40" hidden="0" customWidth="1"/>
    <x:col min="5" max="5" width="34" hidden="0" customWidth="1"/>
    <x:col min="6" max="6" width="18" hidden="0" customWidth="1"/>
    <x:col min="7" max="7" width="10" hidden="0" customWidth="1"/>
    <x:col min="8" max="8" width="16" hidden="0" customWidth="1"/>
    <x:col min="9" max="9" width="12" hidden="0" customWidth="1"/>
    <x:col min="10" max="10" width="16" hidden="0" customWidth="1"/>
    <x:col min="11" max="11" width="30" hidden="0" customWidth="1"/>
    <x:col min="12" max="12" width="32" hidden="0" customWidth="1"/>
    <x:col min="13" max="13" width="17" hidden="0" customWidth="1"/>
  </x:cols>
  <x:sheetData>
    <x:row r="1" ht="34" customHeight="1">
      <x:c r="A1" s="42" t="str">
        <x:v>Rank</x:v>
      </x:c>
      <x:c r="B1" s="42" t="str">
        <x:v>Product Family</x:v>
      </x:c>
      <x:c r="C1" s="42" t="str">
        <x:v>2026 Base Trend</x:v>
      </x:c>
      <x:c r="D1" s="42" t="str">
        <x:v>Why 3D Printing Wins</x:v>
      </x:c>
      <x:c r="E1" s="42" t="str">
        <x:v>Core Customer Inputs</x:v>
      </x:c>
      <x:c r="F1" s="42" t="str">
        <x:v>Default Materials</x:v>
      </x:c>
      <x:c r="G1" s="42" t="str">
        <x:v>SKU Count</x:v>
      </x:c>
      <x:c r="H1" s="42" t="str">
        <x:v>Average Opportunity</x:v>
      </x:c>
      <x:c r="I1" s="42" t="str">
        <x:v>Wave 1 Count</x:v>
      </x:c>
      <x:c r="J1" s="42" t="str">
        <x:v>Specialist / Hold</x:v>
      </x:c>
      <x:c r="K1" s="42" t="str">
        <x:v>Hero SKU</x:v>
      </x:c>
      <x:c r="L1" s="42" t="str">
        <x:v>Launch Recommendation</x:v>
      </x:c>
      <x:c r="M1" s="42" t="str">
        <x:v>Source IDs</x:v>
      </x:c>
    </x:row>
    <x:row r="2" ht="44" customHeight="1">
      <x:c r="A2" s="46" t="n">
        <x:v>1</x:v>
      </x:c>
      <x:c r="B2" s="46" t="str">
        <x:v>Custom desk &amp; drawer organizers</x:v>
      </x:c>
      <x:c r="C2" s="52" t="n">
        <x:v>95</x:v>
      </x:c>
      <x:c r="D2" s="46" t="str">
        <x:v>Mass customization solves drawer and item-fit combinations that fixed retail SKUs cannot inventory.</x:v>
      </x:c>
      <x:c r="E2" s="46" t="str">
        <x:v>Internal dimensions, item list/photo, preferred layout</x:v>
      </x:c>
      <x:c r="F2" s="46" t="str">
        <x:v>PLA/PETG</x:v>
      </x:c>
      <x:c r="G2" s="52" t="n">
        <x:f>COUNTIF('Product Matrix'!$C$2:$C$101,B2)</x:f>
        <x:v>5</x:v>
      </x:c>
      <x:c r="H2" s="48" t="n">
        <x:f>IFERROR(SUMIF('Product Matrix'!$C$2:$C$101,B2,'Product Matrix'!$AO$2:$AO$101)/G2,0)</x:f>
        <x:v>95.24</x:v>
      </x:c>
      <x:c r="I2" s="52" t="n">
        <x:f>COUNTIFS('Product Matrix'!$C$2:$C$101,B2,'Product Matrix'!$AP$2:$AP$101,"Wave 1")</x:f>
        <x:v>4</x:v>
      </x:c>
      <x:c r="J2" s="52" t="n">
        <x:f>COUNTIFS('Product Matrix'!$C$2:$C$101,B2,'Product Matrix'!$AP$2:$AP$101,"Specialist / Hold")</x:f>
        <x:v>0</x:v>
      </x:c>
      <x:c r="K2" s="46" t="str">
        <x:v>Exact-fit drawer grid organizer</x:v>
      </x:c>
      <x:c r="L2" s="46" t="str">
        <x:v>Prioritize as the primary MVP engine.</x:v>
      </x:c>
      <x:c r="M2" s="46" t="str">
        <x:v>S05; S06; S11; S19</x:v>
      </x:c>
    </x:row>
    <x:row r="3" ht="44" customHeight="1">
      <x:c r="A3" s="46" t="n">
        <x:v>2</x:v>
      </x:c>
      <x:c r="B3" s="46" t="str">
        <x:v>Cable-management systems</x:v>
      </x:c>
      <x:c r="C3" s="52" t="n">
        <x:v>94</x:v>
      </x:c>
      <x:c r="D3" s="46" t="str">
        <x:v>Small, fast, dimension-specific parts with strong repeat and bundle potential.</x:v>
      </x:c>
      <x:c r="E3" s="46" t="str">
        <x:v>Desk thickness, cable diameters/count, mounting preference</x:v>
      </x:c>
      <x:c r="F3" s="46" t="str">
        <x:v>PETG/TPU</x:v>
      </x:c>
      <x:c r="G3" s="52" t="n">
        <x:f>COUNTIF('Product Matrix'!$C$2:$C$101,B3)</x:f>
        <x:v>5</x:v>
      </x:c>
      <x:c r="H3" s="48" t="n">
        <x:f>IFERROR(SUMIF('Product Matrix'!$C$2:$C$101,B3,'Product Matrix'!$AO$2:$AO$101)/G3,0)</x:f>
        <x:v>92.08</x:v>
      </x:c>
      <x:c r="I3" s="52" t="n">
        <x:f>COUNTIFS('Product Matrix'!$C$2:$C$101,B3,'Product Matrix'!$AP$2:$AP$101,"Wave 1")</x:f>
        <x:v>1</x:v>
      </x:c>
      <x:c r="J3" s="52" t="n">
        <x:f>COUNTIFS('Product Matrix'!$C$2:$C$101,B3,'Product Matrix'!$AP$2:$AP$101,"Specialist / Hold")</x:f>
        <x:v>0</x:v>
      </x:c>
      <x:c r="K3" s="46" t="str">
        <x:v>Desk-edge cable clip kit</x:v>
      </x:c>
      <x:c r="L3" s="46" t="str">
        <x:v>Launch passive, non-electrical products first.</x:v>
      </x:c>
      <x:c r="M3" s="46" t="str">
        <x:v>S05; S09; S11; S19</x:v>
      </x:c>
    </x:row>
    <x:row r="4" ht="44" customHeight="1">
      <x:c r="A4" s="46" t="n">
        <x:v>3</x:v>
      </x:c>
      <x:c r="B4" s="46" t="str">
        <x:v>Phone/tablet stands &amp; passive docks</x:v>
      </x:c>
      <x:c r="C4" s="52" t="n">
        <x:v>92</x:v>
      </x:c>
      <x:c r="D4" s="46" t="str">
        <x:v>Device dimensions, viewing angle, cases and cable routing are naturally parametric.</x:v>
      </x:c>
      <x:c r="E4" s="46" t="str">
        <x:v>Device model/dimensions, case thickness, angle, cable type</x:v>
      </x:c>
      <x:c r="F4" s="46" t="str">
        <x:v>PLA/PETG</x:v>
      </x:c>
      <x:c r="G4" s="52" t="n">
        <x:f>COUNTIF('Product Matrix'!$C$2:$C$101,B4)</x:f>
        <x:v>5</x:v>
      </x:c>
      <x:c r="H4" s="48" t="n">
        <x:f>IFERROR(SUMIF('Product Matrix'!$C$2:$C$101,B4,'Product Matrix'!$AO$2:$AO$101)/G4,0)</x:f>
        <x:v>92.88</x:v>
      </x:c>
      <x:c r="I4" s="52" t="n">
        <x:f>COUNTIFS('Product Matrix'!$C$2:$C$101,B4,'Product Matrix'!$AP$2:$AP$101,"Wave 1")</x:f>
        <x:v>4</x:v>
      </x:c>
      <x:c r="J4" s="52" t="n">
        <x:f>COUNTIFS('Product Matrix'!$C$2:$C$101,B4,'Product Matrix'!$AP$2:$AP$101,"Specialist / Hold")</x:f>
        <x:v>0</x:v>
      </x:c>
      <x:c r="K4" s="46" t="str">
        <x:v>Adjustable passive phone stand</x:v>
      </x:c>
      <x:c r="L4" s="46" t="str">
        <x:v>Good Wave 1 family; exclude chargers initially.</x:v>
      </x:c>
      <x:c r="M4" s="46" t="str">
        <x:v>S03; S05; S09; S11; S19</x:v>
      </x:c>
    </x:row>
    <x:row r="5" ht="44" customHeight="1">
      <x:c r="A5" s="46" t="n">
        <x:v>4</x:v>
      </x:c>
      <x:c r="B5" s="46" t="str">
        <x:v>Makeup &amp; vanity organizers</x:v>
      </x:c>
      <x:c r="C5" s="52" t="n">
        <x:v>91</x:v>
      </x:c>
      <x:c r="D5" s="46" t="str">
        <x:v>Compartment geometry can match exact product collections and drawer footprints.</x:v>
      </x:c>
      <x:c r="E5" s="46" t="str">
        <x:v>Product count/dimensions, drawer/vanity space, wet/dry use</x:v>
      </x:c>
      <x:c r="F5" s="46" t="str">
        <x:v>PETG</x:v>
      </x:c>
      <x:c r="G5" s="52" t="n">
        <x:f>COUNTIF('Product Matrix'!$C$2:$C$101,B5)</x:f>
        <x:v>5</x:v>
      </x:c>
      <x:c r="H5" s="48" t="n">
        <x:f>IFERROR(SUMIF('Product Matrix'!$C$2:$C$101,B5,'Product Matrix'!$AO$2:$AO$101)/G5,0)</x:f>
        <x:v>93.3</x:v>
      </x:c>
      <x:c r="I5" s="52" t="n">
        <x:f>COUNTIFS('Product Matrix'!$C$2:$C$101,B5,'Product Matrix'!$AP$2:$AP$101,"Wave 1")</x:f>
        <x:v>3</x:v>
      </x:c>
      <x:c r="J5" s="52" t="n">
        <x:f>COUNTIFS('Product Matrix'!$C$2:$C$101,B5,'Product Matrix'!$AP$2:$AP$101,"Specialist / Hold")</x:f>
        <x:v>0</x:v>
      </x:c>
      <x:c r="K5" s="46" t="str">
        <x:v>Custom lipstick and tube grid</x:v>
      </x:c>
      <x:c r="L5" s="46" t="str">
        <x:v>Launch dry-storage and washable organizer variants.</x:v>
      </x:c>
      <x:c r="M5" s="46" t="str">
        <x:v>S07; S11; S19</x:v>
      </x:c>
    </x:row>
    <x:row r="6" ht="44" customHeight="1">
      <x:c r="A6" s="46" t="n">
        <x:v>5</x:v>
      </x:c>
      <x:c r="B6" s="46" t="str">
        <x:v>Wall hooks, key holders &amp; entry organizers</x:v>
      </x:c>
      <x:c r="C6" s="52" t="n">
        <x:v>89</x:v>
      </x:c>
      <x:c r="D6" s="46" t="str">
        <x:v>Names, layouts, mounting interfaces and object-specific holders are highly variable.</x:v>
      </x:c>
      <x:c r="E6" s="46" t="str">
        <x:v>Wall type, fastener, item weights, layout, personalization</x:v>
      </x:c>
      <x:c r="F6" s="46" t="str">
        <x:v>PETG/ASA</x:v>
      </x:c>
      <x:c r="G6" s="52" t="n">
        <x:f>COUNTIF('Product Matrix'!$C$2:$C$101,B6)</x:f>
        <x:v>5</x:v>
      </x:c>
      <x:c r="H6" s="48" t="n">
        <x:f>IFERROR(SUMIF('Product Matrix'!$C$2:$C$101,B6,'Product Matrix'!$AO$2:$AO$101)/G6,0)</x:f>
        <x:v>83.9</x:v>
      </x:c>
      <x:c r="I6" s="52" t="n">
        <x:f>COUNTIFS('Product Matrix'!$C$2:$C$101,B6,'Product Matrix'!$AP$2:$AP$101,"Wave 1")</x:f>
        <x:v>0</x:v>
      </x:c>
      <x:c r="J6" s="52" t="n">
        <x:f>COUNTIFS('Product Matrix'!$C$2:$C$101,B6,'Product Matrix'!$AP$2:$AP$101,"Specialist / Hold")</x:f>
        <x:v>3</x:v>
      </x:c>
      <x:c r="K6" s="46" t="str">
        <x:v>Sunglasses display rail</x:v>
      </x:c>
      <x:c r="L6" s="46" t="str">
        <x:v>Local fulfillment until load classes are validated.</x:v>
      </x:c>
      <x:c r="M6" s="46" t="str">
        <x:v>S02; S05; S08; S11; S19</x:v>
      </x:c>
    </x:row>
    <x:row r="7" ht="44" customHeight="1">
      <x:c r="A7" s="46" t="n">
        <x:v>6</x:v>
      </x:c>
      <x:c r="B7" s="46" t="str">
        <x:v>Mahjong racks, pushers &amp; tile trays</x:v>
      </x:c>
      <x:c r="C7" s="52" t="n">
        <x:v>89</x:v>
      </x:c>
      <x:c r="D7" s="46" t="str">
        <x:v>Long racks can be modular, personalized and produced as themed sets without tooling.</x:v>
      </x:c>
      <x:c r="E7" s="46" t="str">
        <x:v>Tile dimensions, preferred rack length, names/colors</x:v>
      </x:c>
      <x:c r="F7" s="46" t="str">
        <x:v>PLA/PETG</x:v>
      </x:c>
      <x:c r="G7" s="52" t="n">
        <x:f>COUNTIF('Product Matrix'!$C$2:$C$101,B7)</x:f>
        <x:v>5</x:v>
      </x:c>
      <x:c r="H7" s="48" t="n">
        <x:f>IFERROR(SUMIF('Product Matrix'!$C$2:$C$101,B7,'Product Matrix'!$AO$2:$AO$101)/G7,0)</x:f>
        <x:v>94.6</x:v>
      </x:c>
      <x:c r="I7" s="52" t="n">
        <x:f>COUNTIFS('Product Matrix'!$C$2:$C$101,B7,'Product Matrix'!$AP$2:$AP$101,"Wave 1")</x:f>
        <x:v>5</x:v>
      </x:c>
      <x:c r="J7" s="52" t="n">
        <x:f>COUNTIFS('Product Matrix'!$C$2:$C$101,B7,'Product Matrix'!$AP$2:$AP$101,"Specialist / Hold")</x:f>
        <x:v>0</x:v>
      </x:c>
      <x:c r="K7" s="46" t="str">
        <x:v>Mahjong rack-and-pusher set</x:v>
      </x:c>
      <x:c r="L7" s="46" t="str">
        <x:v>Strong seasonal/hobby Wave 1 candidate.</x:v>
      </x:c>
      <x:c r="M7" s="46" t="str">
        <x:v>S01; S11; S16; S17</x:v>
      </x:c>
    </x:row>
    <x:row r="8" ht="44" customHeight="1">
      <x:c r="A8" s="46" t="n">
        <x:v>7</x:v>
      </x:c>
      <x:c r="B8" s="46" t="str">
        <x:v>Planters &amp; self-watering planters</x:v>
      </x:c>
      <x:c r="C8" s="52" t="n">
        <x:v>88</x:v>
      </x:c>
      <x:c r="D8" s="46" t="str">
        <x:v>Exact windowsill sizes, plant-specific geometry and decorative surfaces reward low-volume variation.</x:v>
      </x:c>
      <x:c r="E8" s="46" t="str">
        <x:v>Pot/space dimensions, plant type, indoor/outdoor, drainage preference</x:v>
      </x:c>
      <x:c r="F8" s="46" t="str">
        <x:v>PETG/ASA</x:v>
      </x:c>
      <x:c r="G8" s="52" t="n">
        <x:f>COUNTIF('Product Matrix'!$C$2:$C$101,B8)</x:f>
        <x:v>5</x:v>
      </x:c>
      <x:c r="H8" s="48" t="n">
        <x:f>IFERROR(SUMIF('Product Matrix'!$C$2:$C$101,B8,'Product Matrix'!$AO$2:$AO$101)/G8,0)</x:f>
        <x:v>82</x:v>
      </x:c>
      <x:c r="I8" s="52" t="n">
        <x:f>COUNTIFS('Product Matrix'!$C$2:$C$101,B8,'Product Matrix'!$AP$2:$AP$101,"Wave 1")</x:f>
        <x:v>0</x:v>
      </x:c>
      <x:c r="J8" s="52" t="n">
        <x:f>COUNTIFS('Product Matrix'!$C$2:$C$101,B8,'Product Matrix'!$AP$2:$AP$101,"Specialist / Hold")</x:f>
        <x:v>1</x:v>
      </x:c>
      <x:c r="K8" s="46" t="str">
        <x:v>Ventilated orchid pot and cachepot</x:v>
      </x:c>
      <x:c r="L8" s="46" t="str">
        <x:v>Start with cachepots and liner-based designs; qualify wet variants.</x:v>
      </x:c>
      <x:c r="M8" s="46" t="str">
        <x:v>S02; S03; S11; S19; S20</x:v>
      </x:c>
    </x:row>
    <x:row r="9" ht="44" customHeight="1">
      <x:c r="A9" s="46" t="n">
        <x:v>8</x:v>
      </x:c>
      <x:c r="B9" s="46" t="str">
        <x:v>Vases &amp; sculptural containers</x:v>
      </x:c>
      <x:c r="C9" s="52" t="n">
        <x:v>86</x:v>
      </x:c>
      <x:c r="D9" s="46" t="str">
        <x:v>Complex surface geometry is inexpensive to vary digitally and can command design-led pricing.</x:v>
      </x:c>
      <x:c r="E9" s="46" t="str">
        <x:v>Height/footprint, style, dry/water use, color</x:v>
      </x:c>
      <x:c r="F9" s="46" t="str">
        <x:v>PLA/PETG</x:v>
      </x:c>
      <x:c r="G9" s="52" t="n">
        <x:f>COUNTIF('Product Matrix'!$C$2:$C$101,B9)</x:f>
        <x:v>5</x:v>
      </x:c>
      <x:c r="H9" s="48" t="n">
        <x:f>IFERROR(SUMIF('Product Matrix'!$C$2:$C$101,B9,'Product Matrix'!$AO$2:$AO$101)/G9,0)</x:f>
        <x:v>84.86</x:v>
      </x:c>
      <x:c r="I9" s="52" t="n">
        <x:f>COUNTIFS('Product Matrix'!$C$2:$C$101,B9,'Product Matrix'!$AP$2:$AP$101,"Wave 1")</x:f>
        <x:v>2</x:v>
      </x:c>
      <x:c r="J9" s="52" t="n">
        <x:f>COUNTIFS('Product Matrix'!$C$2:$C$101,B9,'Product Matrix'!$AP$2:$AP$101,"Specialist / Hold")</x:f>
        <x:v>2</x:v>
      </x:c>
      <x:c r="K9" s="46" t="str">
        <x:v>Dry sculptural statement vase</x:v>
      </x:c>
      <x:c r="L9" s="46" t="str">
        <x:v>Separate decorative dry products from leak-qualified products.</x:v>
      </x:c>
      <x:c r="M9" s="46" t="str">
        <x:v>S02; S03; S11; S19</x:v>
      </x:c>
    </x:row>
    <x:row r="10" ht="44" customHeight="1">
      <x:c r="A10" s="46" t="n">
        <x:v>9</x:v>
      </x:c>
      <x:c r="B10" s="46" t="str">
        <x:v>Headphone, controller &amp; VR stands</x:v>
      </x:c>
      <x:c r="C10" s="52" t="n">
        <x:v>85</x:v>
      </x:c>
      <x:c r="D10" s="46" t="str">
        <x:v>Device-specific cradles and multi-device layouts are easy to parameterize.</x:v>
      </x:c>
      <x:c r="E10" s="46" t="str">
        <x:v>Device models, desk space, cable routing, display preference</x:v>
      </x:c>
      <x:c r="F10" s="46" t="str">
        <x:v>PLA/PETG</x:v>
      </x:c>
      <x:c r="G10" s="52" t="n">
        <x:f>COUNTIF('Product Matrix'!$C$2:$C$101,B10)</x:f>
        <x:v>5</x:v>
      </x:c>
      <x:c r="H10" s="48" t="n">
        <x:f>IFERROR(SUMIF('Product Matrix'!$C$2:$C$101,B10,'Product Matrix'!$AO$2:$AO$101)/G10,0)</x:f>
        <x:v>89.82000000000001</x:v>
      </x:c>
      <x:c r="I10" s="52" t="n">
        <x:f>COUNTIFS('Product Matrix'!$C$2:$C$101,B10,'Product Matrix'!$AP$2:$AP$101,"Wave 1")</x:f>
        <x:v>2</x:v>
      </x:c>
      <x:c r="J10" s="52" t="n">
        <x:f>COUNTIFS('Product Matrix'!$C$2:$C$101,B10,'Product Matrix'!$AP$2:$AP$101,"Specialist / Hold")</x:f>
        <x:v>0</x:v>
      </x:c>
      <x:c r="K10" s="46" t="str">
        <x:v>Dual game-controller stand</x:v>
      </x:c>
      <x:c r="L10" s="46" t="str">
        <x:v>Wave 1 for freestanding passive products.</x:v>
      </x:c>
      <x:c r="M10" s="46" t="str">
        <x:v>S05; S11; S19</x:v>
      </x:c>
    </x:row>
    <x:row r="11" ht="44" customHeight="1">
      <x:c r="A11" s="46" t="n">
        <x:v>10</x:v>
      </x:c>
      <x:c r="B11" s="46" t="str">
        <x:v>3D wall art, reliefs &amp; gallery panels</x:v>
      </x:c>
      <x:c r="C11" s="52" t="n">
        <x:v>84</x:v>
      </x:c>
      <x:c r="D11" s="46" t="str">
        <x:v>Digital imagery, relief depth, dimensions and modular compositions can be customized per customer.</x:v>
      </x:c>
      <x:c r="E11" s="46" t="str">
        <x:v>Image/map/content rights, wall size, style, mounting method</x:v>
      </x:c>
      <x:c r="F11" s="46" t="str">
        <x:v>PLA/PETG</x:v>
      </x:c>
      <x:c r="G11" s="52" t="n">
        <x:f>COUNTIF('Product Matrix'!$C$2:$C$101,B11)</x:f>
        <x:v>5</x:v>
      </x:c>
      <x:c r="H11" s="48" t="n">
        <x:f>IFERROR(SUMIF('Product Matrix'!$C$2:$C$101,B11,'Product Matrix'!$AO$2:$AO$101)/G11,0)</x:f>
        <x:v>90.9</x:v>
      </x:c>
      <x:c r="I11" s="52" t="n">
        <x:f>COUNTIFS('Product Matrix'!$C$2:$C$101,B11,'Product Matrix'!$AP$2:$AP$101,"Wave 1")</x:f>
        <x:v>1</x:v>
      </x:c>
      <x:c r="J11" s="52" t="n">
        <x:f>COUNTIFS('Product Matrix'!$C$2:$C$101,B11,'Product Matrix'!$AP$2:$AP$101,"Specialist / Hold")</x:f>
        <x:v>0</x:v>
      </x:c>
      <x:c r="K11" s="46" t="str">
        <x:v>Photo-to-relief portrait panel</x:v>
      </x:c>
      <x:c r="L11" s="46" t="str">
        <x:v>Excellent margin family when artwork and rights are controlled.</x:v>
      </x:c>
      <x:c r="M11" s="46" t="str">
        <x:v>S01; S02; S03; S04; S11; S16</x:v>
      </x:c>
    </x:row>
    <x:row r="12" ht="44" customHeight="1">
      <x:c r="A12" s="46" t="n">
        <x:v>11</x:v>
      </x:c>
      <x:c r="B12" s="46" t="str">
        <x:v>Personalized signs, house numbers &amp; event decor</x:v>
      </x:c>
      <x:c r="C12" s="52" t="n">
        <x:v>83</x:v>
      </x:c>
      <x:c r="D12" s="46" t="str">
        <x:v>Every order can vary in names, dates, QR codes, dimensions and style without inventory.</x:v>
      </x:c>
      <x:c r="E12" s="46" t="str">
        <x:v>Text/content, dimensions, font/style, indoor/outdoor, mounting</x:v>
      </x:c>
      <x:c r="F12" s="46" t="str">
        <x:v>PLA/ASA</x:v>
      </x:c>
      <x:c r="G12" s="52" t="n">
        <x:f>COUNTIF('Product Matrix'!$C$2:$C$101,B12)</x:f>
        <x:v>5</x:v>
      </x:c>
      <x:c r="H12" s="48" t="n">
        <x:f>IFERROR(SUMIF('Product Matrix'!$C$2:$C$101,B12,'Product Matrix'!$AO$2:$AO$101)/G12,0)</x:f>
        <x:v>92.26</x:v>
      </x:c>
      <x:c r="I12" s="52" t="n">
        <x:f>COUNTIFS('Product Matrix'!$C$2:$C$101,B12,'Product Matrix'!$AP$2:$AP$101,"Wave 1")</x:f>
        <x:v>3</x:v>
      </x:c>
      <x:c r="J12" s="52" t="n">
        <x:f>COUNTIFS('Product Matrix'!$C$2:$C$101,B12,'Product Matrix'!$AP$2:$AP$101,"Specialist / Hold")</x:f>
        <x:v>0</x:v>
      </x:c>
      <x:c r="K12" s="46" t="str">
        <x:v>Business QR-code tabletop sign</x:v>
      </x:c>
      <x:c r="L12" s="46" t="str">
        <x:v>Wave 1 indoors; qualify outdoor/mounted variants.</x:v>
      </x:c>
      <x:c r="M12" s="46" t="str">
        <x:v>S01; S04; S11; S16; S24</x:v>
      </x:c>
    </x:row>
    <x:row r="13" ht="44" customHeight="1">
      <x:c r="A13" s="46" t="n">
        <x:v>12</x:v>
      </x:c>
      <x:c r="B13" s="46" t="str">
        <x:v>Passive lampshades &amp; light diffusers</x:v>
      </x:c>
      <x:c r="C13" s="52" t="n">
        <x:v>81</x:v>
      </x:c>
      <x:c r="D13" s="46" t="str">
        <x:v>Shades benefit from complex geometry and size customization while standardized holders can remain certified components.</x:v>
      </x:c>
      <x:c r="E13" s="46" t="str">
        <x:v>Holder interface, bulb type, clearances, dimensions, style</x:v>
      </x:c>
      <x:c r="F13" s="46" t="str">
        <x:v>PETG/qualified material</x:v>
      </x:c>
      <x:c r="G13" s="52" t="n">
        <x:f>COUNTIF('Product Matrix'!$C$2:$C$101,B13)</x:f>
        <x:v>5</x:v>
      </x:c>
      <x:c r="H13" s="48" t="n">
        <x:f>IFERROR(SUMIF('Product Matrix'!$C$2:$C$101,B13,'Product Matrix'!$AO$2:$AO$101)/G13,0)</x:f>
        <x:v>77.41999999999999</x:v>
      </x:c>
      <x:c r="I13" s="52" t="n">
        <x:f>COUNTIFS('Product Matrix'!$C$2:$C$101,B13,'Product Matrix'!$AP$2:$AP$101,"Wave 1")</x:f>
        <x:v>0</x:v>
      </x:c>
      <x:c r="J13" s="52" t="n">
        <x:f>COUNTIFS('Product Matrix'!$C$2:$C$101,B13,'Product Matrix'!$AP$2:$AP$101,"Specialist / Hold")</x:f>
        <x:v>3</x:v>
      </x:c>
      <x:c r="K13" s="46" t="str">
        <x:v>LED-tealight lantern shell</x:v>
      </x:c>
      <x:c r="L13" s="46" t="str">
        <x:v>Specialist Wave 2; LED-only, passive-component scope.</x:v>
      </x:c>
      <x:c r="M13" s="46" t="str">
        <x:v>S02; S11; S15; S19; S20; S28</x:v>
      </x:c>
    </x:row>
    <x:row r="14" ht="44" customHeight="1">
      <x:c r="A14" s="46" t="n">
        <x:v>13</x:v>
      </x:c>
      <x:c r="B14" s="46" t="str">
        <x:v>Bathroom &amp; shower organizers</x:v>
      </x:c>
      <x:c r="C14" s="52" t="n">
        <x:v>80</x:v>
      </x:c>
      <x:c r="D14" s="46" t="str">
        <x:v>Exact cabinet, shower and product dimensions make customized storage valuable.</x:v>
      </x:c>
      <x:c r="E14" s="46" t="str">
        <x:v>Space dimensions, mounting, product loads, drainage/cleaning</x:v>
      </x:c>
      <x:c r="F14" s="46" t="str">
        <x:v>PETG</x:v>
      </x:c>
      <x:c r="G14" s="52" t="n">
        <x:f>COUNTIF('Product Matrix'!$C$2:$C$101,B14)</x:f>
        <x:v>5</x:v>
      </x:c>
      <x:c r="H14" s="48" t="n">
        <x:f>IFERROR(SUMIF('Product Matrix'!$C$2:$C$101,B14,'Product Matrix'!$AO$2:$AO$101)/G14,0)</x:f>
        <x:v>83.98</x:v>
      </x:c>
      <x:c r="I14" s="52" t="n">
        <x:f>COUNTIFS('Product Matrix'!$C$2:$C$101,B14,'Product Matrix'!$AP$2:$AP$101,"Wave 1")</x:f>
        <x:v>0</x:v>
      </x:c>
      <x:c r="J14" s="52" t="n">
        <x:f>COUNTIFS('Product Matrix'!$C$2:$C$101,B14,'Product Matrix'!$AP$2:$AP$101,"Specialist / Hold")</x:f>
        <x:v>2</x:v>
      </x:c>
      <x:c r="K14" s="46" t="str">
        <x:v>Soap dish with removable drain tray</x:v>
      </x:c>
      <x:c r="L14" s="46" t="str">
        <x:v>Wave 2 after moisture and mounting validation.</x:v>
      </x:c>
      <x:c r="M14" s="46" t="str">
        <x:v>S07; S11; S19</x:v>
      </x:c>
    </x:row>
    <x:row r="15" ht="44" customHeight="1">
      <x:c r="A15" s="46" t="n">
        <x:v>14</x:v>
      </x:c>
      <x:c r="B15" s="46" t="str">
        <x:v>Custom TPU cases, sleeves &amp; bumpers</x:v>
      </x:c>
      <x:c r="C15" s="52" t="n">
        <x:v>79</x:v>
      </x:c>
      <x:c r="D15" s="46" t="str">
        <x:v>Fit, color, grip texture and personalization can be varied per device and customer.</x:v>
      </x:c>
      <x:c r="E15" s="46" t="str">
        <x:v>Exact device model/scan, case tolerance, texture, openings</x:v>
      </x:c>
      <x:c r="F15" s="46" t="str">
        <x:v>TPU</x:v>
      </x:c>
      <x:c r="G15" s="52" t="n">
        <x:f>COUNTIF('Product Matrix'!$C$2:$C$101,B15)</x:f>
        <x:v>5</x:v>
      </x:c>
      <x:c r="H15" s="48" t="n">
        <x:f>IFERROR(SUMIF('Product Matrix'!$C$2:$C$101,B15,'Product Matrix'!$AO$2:$AO$101)/G15,0)</x:f>
        <x:v>84.53999999999999</x:v>
      </x:c>
      <x:c r="I15" s="52" t="n">
        <x:f>COUNTIFS('Product Matrix'!$C$2:$C$101,B15,'Product Matrix'!$AP$2:$AP$101,"Wave 1")</x:f>
        <x:v>0</x:v>
      </x:c>
      <x:c r="J15" s="52" t="n">
        <x:f>COUNTIFS('Product Matrix'!$C$2:$C$101,B15,'Product Matrix'!$AP$2:$AP$101,"Specialist / Hold")</x:f>
        <x:v>0</x:v>
      </x:c>
      <x:c r="K15" s="46" t="str">
        <x:v>Earbud charging-case protector</x:v>
      </x:c>
      <x:c r="L15" s="46" t="str">
        <x:v>Wave 2; avoid untested protection claims.</x:v>
      </x:c>
      <x:c r="M15" s="46" t="str">
        <x:v>S01; S11; S19; S30</x:v>
      </x:c>
    </x:row>
    <x:row r="16" ht="44" customHeight="1">
      <x:c r="A16" s="46" t="n">
        <x:v>15</x:v>
      </x:c>
      <x:c r="B16" s="46" t="str">
        <x:v>Bookends, vinyl &amp; display stands</x:v>
      </x:c>
      <x:c r="C16" s="52" t="n">
        <x:v>78</x:v>
      </x:c>
      <x:c r="D16" s="46" t="str">
        <x:v>Niche collections and exact display angles allow premium personalization.</x:v>
      </x:c>
      <x:c r="E16" s="46" t="str">
        <x:v>Object dimensions/weight, shelf space, style, ballast preference</x:v>
      </x:c>
      <x:c r="F16" s="46" t="str">
        <x:v>PLA/PETG</x:v>
      </x:c>
      <x:c r="G16" s="52" t="n">
        <x:f>COUNTIF('Product Matrix'!$C$2:$C$101,B16)</x:f>
        <x:v>5</x:v>
      </x:c>
      <x:c r="H16" s="48" t="n">
        <x:f>IFERROR(SUMIF('Product Matrix'!$C$2:$C$101,B16,'Product Matrix'!$AO$2:$AO$101)/G16,0)</x:f>
        <x:v>89.32</x:v>
      </x:c>
      <x:c r="I16" s="52" t="n">
        <x:f>COUNTIFS('Product Matrix'!$C$2:$C$101,B16,'Product Matrix'!$AP$2:$AP$101,"Wave 1")</x:f>
        <x:v>1</x:v>
      </x:c>
      <x:c r="J16" s="52" t="n">
        <x:f>COUNTIFS('Product Matrix'!$C$2:$C$101,B16,'Product Matrix'!$AP$2:$AP$101,"Specialist / Hold")</x:f>
        <x:v>0</x:v>
      </x:c>
      <x:c r="K16" s="46" t="str">
        <x:v>Vinyl record-divider label set</x:v>
      </x:c>
      <x:c r="L16" s="46" t="str">
        <x:v>Wave 1/2 depending stability and ballast.</x:v>
      </x:c>
      <x:c r="M16" s="46" t="str">
        <x:v>S01; S04; S11; S19</x:v>
      </x:c>
    </x:row>
    <x:row r="17" ht="44" customHeight="1">
      <x:c r="A17" s="46" t="n">
        <x:v>16</x:v>
      </x:c>
      <x:c r="B17" s="46" t="str">
        <x:v>Modular pegboard &amp; wall-storage ecosystems</x:v>
      </x:c>
      <x:c r="C17" s="52" t="n">
        <x:v>78</x:v>
      </x:c>
      <x:c r="D17" s="46" t="str">
        <x:v>A proprietary grid can generate hundreds of holders from a small parametric core.</x:v>
      </x:c>
      <x:c r="E17" s="46" t="str">
        <x:v>Panel area, object dimensions/weights, mounting surface, layout</x:v>
      </x:c>
      <x:c r="F17" s="46" t="str">
        <x:v>PETG</x:v>
      </x:c>
      <x:c r="G17" s="52" t="n">
        <x:f>COUNTIF('Product Matrix'!$C$2:$C$101,B17)</x:f>
        <x:v>5</x:v>
      </x:c>
      <x:c r="H17" s="48" t="n">
        <x:f>IFERROR(SUMIF('Product Matrix'!$C$2:$C$101,B17,'Product Matrix'!$AO$2:$AO$101)/G17,0)</x:f>
        <x:v>80.97999999999999</x:v>
      </x:c>
      <x:c r="I17" s="52" t="n">
        <x:f>COUNTIFS('Product Matrix'!$C$2:$C$101,B17,'Product Matrix'!$AP$2:$AP$101,"Wave 1")</x:f>
        <x:v>0</x:v>
      </x:c>
      <x:c r="J17" s="52" t="n">
        <x:f>COUNTIFS('Product Matrix'!$C$2:$C$101,B17,'Product Matrix'!$AP$2:$AP$101,"Specialist / Hold")</x:f>
        <x:v>3</x:v>
      </x:c>
      <x:c r="K17" s="46" t="str">
        <x:v>Parametric pegboard hook pack</x:v>
      </x:c>
      <x:c r="L17" s="46" t="str">
        <x:v>Build a proprietary interface and validate load classes.</x:v>
      </x:c>
      <x:c r="M17" s="46" t="str">
        <x:v>S08; S09; S11; S19</x:v>
      </x:c>
    </x:row>
    <x:row r="18" ht="44" customHeight="1">
      <x:c r="A18" s="46" t="n">
        <x:v>17</x:v>
      </x:c>
      <x:c r="B18" s="46" t="str">
        <x:v>Journaling &amp; stationery accessories</x:v>
      </x:c>
      <x:c r="C18" s="52" t="n">
        <x:v>77</x:v>
      </x:c>
      <x:c r="D18" s="46" t="str">
        <x:v>Small personalized items print quickly and bundle naturally.</x:v>
      </x:c>
      <x:c r="E18" s="46" t="str">
        <x:v>Notebook dimensions, initials/text, attachment style, color</x:v>
      </x:c>
      <x:c r="F18" s="46" t="str">
        <x:v>PLA/PETG/TPU</x:v>
      </x:c>
      <x:c r="G18" s="52" t="n">
        <x:f>COUNTIF('Product Matrix'!$C$2:$C$101,B18)</x:f>
        <x:v>5</x:v>
      </x:c>
      <x:c r="H18" s="48" t="n">
        <x:f>IFERROR(SUMIF('Product Matrix'!$C$2:$C$101,B18,'Product Matrix'!$AO$2:$AO$101)/G18,0)</x:f>
        <x:v>90.8</x:v>
      </x:c>
      <x:c r="I18" s="52" t="n">
        <x:f>COUNTIFS('Product Matrix'!$C$2:$C$101,B18,'Product Matrix'!$AP$2:$AP$101,"Wave 1")</x:f>
        <x:v>1</x:v>
      </x:c>
      <x:c r="J18" s="52" t="n">
        <x:f>COUNTIFS('Product Matrix'!$C$2:$C$101,B18,'Product Matrix'!$AP$2:$AP$101,"Specialist / Hold")</x:f>
        <x:v>0</x:v>
      </x:c>
      <x:c r="K18" s="46" t="str">
        <x:v>Snap-on journal pen loop</x:v>
      </x:c>
      <x:c r="L18" s="46" t="str">
        <x:v>Wave 1 with small-parts warnings where relevant.</x:v>
      </x:c>
      <x:c r="M18" s="46" t="str">
        <x:v>S01; S04; S11; S16</x:v>
      </x:c>
    </x:row>
    <x:row r="19" ht="44" customHeight="1">
      <x:c r="A19" s="46" t="n">
        <x:v>18</x:v>
      </x:c>
      <x:c r="B19" s="46" t="str">
        <x:v>Board-game inserts, card holders &amp; dice towers</x:v>
      </x:c>
      <x:c r="C19" s="52" t="n">
        <x:v>75</x:v>
      </x:c>
      <x:c r="D19" s="46" t="str">
        <x:v>Box and component dimensions vary by game, making low-volume exact-fit inserts attractive.</x:v>
      </x:c>
      <x:c r="E19" s="46" t="str">
        <x:v>Box/component dimensions, card sleeves, player count, generic vs game-specific</x:v>
      </x:c>
      <x:c r="F19" s="46" t="str">
        <x:v>PLA/PETG</x:v>
      </x:c>
      <x:c r="G19" s="52" t="n">
        <x:f>COUNTIF('Product Matrix'!$C$2:$C$101,B19)</x:f>
        <x:v>5</x:v>
      </x:c>
      <x:c r="H19" s="48" t="n">
        <x:f>IFERROR(SUMIF('Product Matrix'!$C$2:$C$101,B19,'Product Matrix'!$AO$2:$AO$101)/G19,0)</x:f>
        <x:v>86.22</x:v>
      </x:c>
      <x:c r="I19" s="52" t="n">
        <x:f>COUNTIFS('Product Matrix'!$C$2:$C$101,B19,'Product Matrix'!$AP$2:$AP$101,"Wave 1")</x:f>
        <x:v>0</x:v>
      </x:c>
      <x:c r="J19" s="52" t="n">
        <x:f>COUNTIFS('Product Matrix'!$C$2:$C$101,B19,'Product Matrix'!$AP$2:$AP$101,"Specialist / Hold")</x:f>
        <x:v>0</x:v>
      </x:c>
      <x:c r="K19" s="46" t="str">
        <x:v>Generic tabletop card-holder set</x:v>
      </x:c>
      <x:c r="L19" s="46" t="str">
        <x:v>Launch generic/adult-hobby products; review game IP and toy classification.</x:v>
      </x:c>
      <x:c r="M19" s="46" t="str">
        <x:v>S01; S04; S11; S16</x:v>
      </x:c>
    </x:row>
    <x:row r="20" ht="44" customHeight="1">
      <x:c r="A20" s="46" t="n">
        <x:v>19</x:v>
      </x:c>
      <x:c r="B20" s="46" t="str">
        <x:v>Non-safety-critical replacement parts</x:v>
      </x:c>
      <x:c r="C20" s="52" t="n">
        <x:v>74</x:v>
      </x:c>
      <x:c r="D20" s="46" t="str">
        <x:v>On-demand geometry eliminates inventory for low-volume legacy parts.</x:v>
      </x:c>
      <x:c r="E20" s="46" t="str">
        <x:v>Part photos/scan, measurements, load/temperature, product identity, failure mode</x:v>
      </x:c>
      <x:c r="F20" s="46" t="str">
        <x:v>PETG/ASA/engineering</x:v>
      </x:c>
      <x:c r="G20" s="52" t="n">
        <x:f>COUNTIF('Product Matrix'!$C$2:$C$101,B20)</x:f>
        <x:v>5</x:v>
      </x:c>
      <x:c r="H20" s="48" t="n">
        <x:f>IFERROR(SUMIF('Product Matrix'!$C$2:$C$101,B20,'Product Matrix'!$AO$2:$AO$101)/G20,0)</x:f>
        <x:v>79.88000000000001</x:v>
      </x:c>
      <x:c r="I20" s="52" t="n">
        <x:f>COUNTIFS('Product Matrix'!$C$2:$C$101,B20,'Product Matrix'!$AP$2:$AP$101,"Wave 1")</x:f>
        <x:v>0</x:v>
      </x:c>
      <x:c r="J20" s="52" t="n">
        <x:f>COUNTIFS('Product Matrix'!$C$2:$C$101,B20,'Product Matrix'!$AP$2:$AP$101,"Specialist / Hold")</x:f>
        <x:v>2</x:v>
      </x:c>
      <x:c r="K20" s="46" t="str">
        <x:v>Curtain-rail end stop or cap</x:v>
      </x:c>
      <x:c r="L20" s="46" t="str">
        <x:v>Case-review service only; exclude safety-critical applications.</x:v>
      </x:c>
      <x:c r="M20" s="46" t="str">
        <x:v>S10; S11; S16; S25; S29</x:v>
      </x:c>
    </x:row>
    <x:row r="21" ht="44" customHeight="1">
      <x:c r="A21" s="46" t="n">
        <x:v>20</x:v>
      </x:c>
      <x:c r="B21" s="46" t="str">
        <x:v>Adult desk fidgets &amp; original collectibles</x:v>
      </x:c>
      <x:c r="C21" s="52" t="n">
        <x:v>69</x:v>
      </x:c>
      <x:c r="D21" s="46" t="str">
        <x:v>Original designs, print-in-place mechanics and personalization suit digital inventory.</x:v>
      </x:c>
      <x:c r="E21" s="46" t="str">
        <x:v>Style, size, color, personalization, adult-use confirmation</x:v>
      </x:c>
      <x:c r="F21" s="46" t="str">
        <x:v>PLA/PETG</x:v>
      </x:c>
      <x:c r="G21" s="52" t="n">
        <x:f>COUNTIF('Product Matrix'!$C$2:$C$101,B21)</x:f>
        <x:v>5</x:v>
      </x:c>
      <x:c r="H21" s="48" t="n">
        <x:f>IFERROR(SUMIF('Product Matrix'!$C$2:$C$101,B21,'Product Matrix'!$AO$2:$AO$101)/G21,0)</x:f>
        <x:v>82.18</x:v>
      </x:c>
      <x:c r="I21" s="52" t="n">
        <x:f>COUNTIFS('Product Matrix'!$C$2:$C$101,B21,'Product Matrix'!$AP$2:$AP$101,"Wave 1")</x:f>
        <x:v>0</x:v>
      </x:c>
      <x:c r="J21" s="52" t="n">
        <x:f>COUNTIFS('Product Matrix'!$C$2:$C$101,B21,'Product Matrix'!$AP$2:$AP$101,"Specialist / Hold")</x:f>
        <x:v>1</x:v>
      </x:c>
      <x:c r="K21" s="46" t="str">
        <x:v>Magnet-free desk slider fidget</x:v>
      </x:c>
      <x:c r="L21" s="46" t="str">
        <x:v>Original IP only; control toy/small-parts positioning.</x:v>
      </x:c>
      <x:c r="M21" s="46" t="str">
        <x:v>S01; S04; S11; S16; S18</x:v>
      </x:c>
    </x:row>
  </x:sheetData>
  <x:conditionalFormatting sqref="H2:H21">
    <x:cfRule type="colorScale" priority="1">
      <x:colorScale>
        <x:cfvo type="min"/>
        <x:cfvo type="percentile" val="50"/>
        <x:cfvo type="max"/>
        <x:color rgb="FFFBE8E7"/>
        <x:color rgb="FFFFF4D6"/>
        <x:color rgb="FFE6F4E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80fbe8666db48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31" hidden="0" customWidth="1"/>
    <x:col min="4" max="4" width="14" hidden="0" customWidth="1"/>
    <x:col min="5" max="5" width="40" hidden="0" customWidth="1"/>
    <x:col min="6" max="6" width="42" hidden="0" customWidth="1"/>
    <x:col min="7" max="7" width="36" hidden="0" customWidth="1"/>
    <x:col min="8" max="8" width="34" hidden="0" customWidth="1"/>
    <x:col min="9" max="9" width="34" hidden="0" customWidth="1"/>
    <x:col min="10" max="10" width="17" hidden="0" customWidth="1"/>
  </x:cols>
  <x:sheetData>
    <x:row r="1" ht="32" customHeight="1">
      <x:c r="A1" s="5" t="str">
        <x:v>EU / Germany compliance and release-gate routing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56" t="str">
        <x:v>Operational planning aid, not legal advice. Each SKU still requires a documented classification, risk assessment and evidence proportionate to intended use.</x:v>
      </x:c>
      <x:c r="B2" s="56"/>
      <x:c r="C2" s="56"/>
      <x:c r="D2" s="56"/>
      <x:c r="E2" s="56"/>
      <x:c r="F2" s="56"/>
      <x:c r="G2" s="56"/>
      <x:c r="H2" s="56"/>
      <x:c r="I2" s="56"/>
      <x:c r="J2" s="56"/>
    </x:row>
    <x:row r="4" ht="34" customHeight="1">
      <x:c r="A4" s="42" t="str">
        <x:v>ID</x:v>
      </x:c>
      <x:c r="B4" s="42" t="str">
        <x:v>Route</x:v>
      </x:c>
      <x:c r="C4" s="42" t="str">
        <x:v>Trigger</x:v>
      </x:c>
      <x:c r="D4" s="42" t="str">
        <x:v>Initial Rating</x:v>
      </x:c>
      <x:c r="E4" s="42" t="str">
        <x:v>Required Work</x:v>
      </x:c>
      <x:c r="F4" s="42" t="str">
        <x:v>Documentation Set</x:v>
      </x:c>
      <x:c r="G4" s="42" t="str">
        <x:v>Validation</x:v>
      </x:c>
      <x:c r="H4" s="42" t="str">
        <x:v>Label / Listing</x:v>
      </x:c>
      <x:c r="I4" s="42" t="str">
        <x:v>Release Gate</x:v>
      </x:c>
      <x:c r="J4" s="42" t="str">
        <x:v>Source IDs</x:v>
      </x:c>
    </x:row>
    <x:row r="5" ht="62" customHeight="1">
      <x:c r="A5" s="46" t="str">
        <x:v>C01</x:v>
      </x:c>
      <x:c r="B5" s="46" t="str">
        <x:v>GPSR standard consumer product</x:v>
      </x:c>
      <x:c r="C5" s="46" t="str">
        <x:v>Any non-harmonized consumer product sold in the EU</x:v>
      </x:c>
      <x:c r="D5" s="46" t="str">
        <x:v>Green / Yellow</x:v>
      </x:c>
      <x:c r="E5" s="46" t="str">
        <x:v>Internal risk analysis; technical documentation; product and manufacturer identification; batch/revision traceability; instructions and warnings proportional to risk.</x:v>
      </x:c>
      <x:c r="F5" s="46" t="str">
        <x:v>SKU description, intended use, drawings/version, material/BOM, risk assessment, test record, approved print profile, QC checklist, label artwork, complaint/recall process.</x:v>
      </x:c>
      <x:c r="G5" s="46" t="str">
        <x:v>Dimensional check, sharp-edge check, stability/normal-use tests, process traceability.</x:v>
      </x:c>
      <x:c r="H5" s="46" t="str">
        <x:v>Product ID/revision, manufacturer/contact, intended-use limits, relevant warnings.</x:v>
      </x:c>
      <x:c r="I5" s="46" t="str">
        <x:v>Release after documented risk assessment and first-article validation.</x:v>
      </x:c>
      <x:c r="J5" s="46" t="str">
        <x:v>S11; S25; S26</x:v>
      </x:c>
    </x:row>
    <x:row r="6" ht="62" customHeight="1">
      <x:c r="A6" s="46" t="str">
        <x:v>C02</x:v>
      </x:c>
      <x:c r="B6" s="46" t="str">
        <x:v>Load-bearing or wall-mounted consumer product</x:v>
      </x:c>
      <x:c r="C6" s="46" t="str">
        <x:v>Hooks, shelves, wall rails, suspended or clamped holders</x:v>
      </x:c>
      <x:c r="D6" s="46" t="str">
        <x:v>Yellow / Red</x:v>
      </x:c>
      <x:c r="E6" s="46" t="str">
        <x:v>GPSR plus defined load cases, substrate/fastener combinations, misuse analysis and conservative claims.</x:v>
      </x:c>
      <x:c r="F6" s="46" t="str">
        <x:v>C01 file plus calculation/design rationale, approved hardware BOM, load-test plan/results, installation instructions.</x:v>
      </x:c>
      <x:c r="G6" s="46" t="str">
        <x:v>Proof load, creep, cycle/fatigue, pull-out, fastener/substrate tests; destructive margin where appropriate.</x:v>
      </x:c>
      <x:c r="H6" s="46" t="str">
        <x:v>Published load class, approved wall/fastener types, installation and misuse warnings.</x:v>
      </x:c>
      <x:c r="I6" s="46" t="str">
        <x:v>Local controlled production until validated; no at-home load rating.</x:v>
      </x:c>
      <x:c r="J6" s="46" t="str">
        <x:v>S11; S25</x:v>
      </x:c>
    </x:row>
    <x:row r="7" ht="62" customHeight="1">
      <x:c r="A7" s="46" t="str">
        <x:v>C03</x:v>
      </x:c>
      <x:c r="B7" s="46" t="str">
        <x:v>Moisture or water-containing product</x:v>
      </x:c>
      <x:c r="C7" s="46" t="str">
        <x:v>Planters, vases, bathroom items, reservoirs</x:v>
      </x:c>
      <x:c r="D7" s="46" t="str">
        <x:v>Yellow / Red</x:v>
      </x:c>
      <x:c r="E7" s="46" t="str">
        <x:v>GPSR plus material/process control, drainage/cleanability and leak/spill consequence analysis.</x:v>
      </x:c>
      <x:c r="F7" s="46" t="str">
        <x:v>C01 file plus wet-use profile, cleaning instructions, per-unit or type-test plan, liner/component specification.</x:v>
      </x:c>
      <x:c r="G7" s="46" t="str">
        <x:v>Leak/soak, drainage, cleaning access, wet-load, mold/standing-water risk review.</x:v>
      </x:c>
      <x:c r="H7" s="46" t="str">
        <x:v>Water-use limits, cleaning/drying instructions, placement warnings.</x:v>
      </x:c>
      <x:c r="I7" s="46" t="str">
        <x:v>Dry/liner variants first; water claims only after controlled validation.</x:v>
      </x:c>
      <x:c r="J7" s="46" t="str">
        <x:v>S11; S19</x:v>
      </x:c>
    </x:row>
    <x:row r="8" ht="62" customHeight="1">
      <x:c r="A8" s="46" t="str">
        <x:v>C04</x:v>
      </x:c>
      <x:c r="B8" s="46" t="str">
        <x:v>Outdoor/UV-exposed product</x:v>
      </x:c>
      <x:c r="C8" s="46" t="str">
        <x:v>House numbers, outdoor planters, exterior mounts</x:v>
      </x:c>
      <x:c r="D8" s="46" t="str">
        <x:v>Yellow</x:v>
      </x:c>
      <x:c r="E8" s="46" t="str">
        <x:v>GPSR plus qualified material, weathering assumptions, mounting and environment limits.</x:v>
      </x:c>
      <x:c r="F8" s="46" t="str">
        <x:v>C01 file plus material batch/TDS, outdoor profile, UV/weathering rationale and mounting specification.</x:v>
      </x:c>
      <x:c r="G8" s="46" t="str">
        <x:v>Accelerated/field exposure, dimensional stability, color and fastener checks.</x:v>
      </x:c>
      <x:c r="H8" s="46" t="str">
        <x:v>Outdoor temperature/UV scope, mounting and inspection/replacement guidance.</x:v>
      </x:c>
      <x:c r="I8" s="46" t="str">
        <x:v>ASA/enclosed qualified process; local fulfillment initially.</x:v>
      </x:c>
      <x:c r="J8" s="46" t="str">
        <x:v>S11; S19; S20</x:v>
      </x:c>
    </x:row>
    <x:row r="9" ht="62" customHeight="1">
      <x:c r="A9" s="46" t="str">
        <x:v>C05</x:v>
      </x:c>
      <x:c r="B9" s="46" t="str">
        <x:v>Food-contact article (Lebensmittelkontakt)</x:v>
      </x:c>
      <x:c r="C9" s="46" t="str">
        <x:v>Any finished article intended to contact food</x:v>
      </x:c>
      <x:c r="D9" s="46" t="str">
        <x:v>Red specialist</x:v>
      </x:c>
      <x:c r="E9" s="46" t="str">
        <x:v>Regulation (EC) No 1935/2004, GMP and applicable plastic-specific rules; compliance concerns the finished article and intended conditions of use.</x:v>
      </x:c>
      <x:c r="F9" s="46" t="str">
        <x:v>Material declarations, full formulation/supplier trace, GMP process, intended foods/time/temperature, supporting documentation and DoC where required.</x:v>
      </x:c>
      <x:c r="G9" s="46" t="str">
        <x:v>Migration and other relevant testing on representative finished articles/processes.</x:v>
      </x:c>
      <x:c r="H9" s="46" t="str">
        <x:v>Food types, temperatures, durations, use/cleaning limits and traceability.</x:v>
      </x:c>
      <x:c r="I9" s="46" t="str">
        <x:v>Exclude from initial catalog; create a separate qualified food-contact program.</x:v>
      </x:c>
      <x:c r="J9" s="46" t="str">
        <x:v>S12; S13</x:v>
      </x:c>
    </x:row>
    <x:row r="10" ht="62" customHeight="1">
      <x:c r="A10" s="46" t="str">
        <x:v>C06</x:v>
      </x:c>
      <x:c r="B10" s="46" t="str">
        <x:v>Toy or product intended for children</x:v>
      </x:c>
      <x:c r="C10" s="46" t="str">
        <x:v>Articulated items, game products or small accessories marketed for play</x:v>
      </x:c>
      <x:c r="D10" s="46" t="str">
        <x:v>Red specialist</x:v>
      </x:c>
      <x:c r="E10" s="46" t="str">
        <x:v>Toy classification, safety assessment, conformity procedures, technical file and CE marking where toy law applies.</x:v>
      </x:c>
      <x:c r="F10" s="46" t="str">
        <x:v>Design and age-grade rationale, hazard assessment, standards/test reports, declaration and digital/product documentation as applicable.</x:v>
      </x:c>
      <x:c r="G10" s="46" t="str">
        <x:v>Mechanical, small parts, chemical, flammability and hygiene tests as applicable.</x:v>
      </x:c>
      <x:c r="H10" s="46" t="str">
        <x:v>Age/use information and mandatory toy warnings/marking.</x:v>
      </x:c>
      <x:c r="I10" s="46" t="str">
        <x:v>Do not rely on a simple 14+ label; specialist classification before launch.</x:v>
      </x:c>
      <x:c r="J10" s="46" t="str">
        <x:v>S14; S27</x:v>
      </x:c>
    </x:row>
    <x:row r="11" ht="62" customHeight="1">
      <x:c r="A11" s="46" t="str">
        <x:v>C07</x:v>
      </x:c>
      <x:c r="B11" s="46" t="str">
        <x:v>Passive lampshade or diffuser</x:v>
      </x:c>
      <x:c r="C11" s="46" t="str">
        <x:v>Printed shade used with separate certified lighting components</x:v>
      </x:c>
      <x:c r="D11" s="46" t="str">
        <x:v>Yellow / Red</x:v>
      </x:c>
      <x:c r="E11" s="46" t="str">
        <x:v>GPSR applies; complete assembly may trigger electrical rules. Control heat clearance, material, vents and specified lamp/holder interface.</x:v>
      </x:c>
      <x:c r="F11" s="46" t="str">
        <x:v>C01 file plus certified component specification, dimensional gauges, LED envelope, thermal test and assembly instructions.</x:v>
      </x:c>
      <x:c r="G11" s="46" t="str">
        <x:v>Temperature/clearance, retention, stability and misuse testing; no-flame validation for lanterns.</x:v>
      </x:c>
      <x:c r="H11" s="46" t="str">
        <x:v>LED-only/approved source, prohibited lamps, minimum clearances, passive-component scope.</x:v>
      </x:c>
      <x:c r="I11" s="46" t="str">
        <x:v>Specialist review and local controlled production.</x:v>
      </x:c>
      <x:c r="J11" s="46" t="str">
        <x:v>S11; S15; S27</x:v>
      </x:c>
    </x:row>
    <x:row r="12" ht="62" customHeight="1">
      <x:c r="A12" s="46" t="str">
        <x:v>C08</x:v>
      </x:c>
      <x:c r="B12" s="46" t="str">
        <x:v>Complete electrical/electronic product</x:v>
      </x:c>
      <x:c r="C12" s="46" t="str">
        <x:v>Any product with wiring, charger, PCB, power supply or integrated light</x:v>
      </x:c>
      <x:c r="D12" s="46" t="str">
        <x:v>Red specialist</x:v>
      </x:c>
      <x:c r="E12" s="46" t="str">
        <x:v>Potential LVD, EMC, RoHS, WEEE and CE obligations plus product-specific rules.</x:v>
      </x:c>
      <x:c r="F12" s="46" t="str">
        <x:v>Full electrical design/BOM, conformity assessment, standards/test reports, declarations, technical file and EPR records.</x:v>
      </x:c>
      <x:c r="G12" s="46" t="str">
        <x:v>Electrical safety, EMC, thermal, fire, mechanical and environmental testing as applicable.</x:v>
      </x:c>
      <x:c r="H12" s="46" t="str">
        <x:v>Mandatory marking, instructions, warnings and disposal information.</x:v>
      </x:c>
      <x:c r="I12" s="46" t="str">
        <x:v>Exclude from initial catalog; sell passive parts around certified components.</x:v>
      </x:c>
      <x:c r="J12" s="46" t="str">
        <x:v>S15; S27</x:v>
      </x:c>
    </x:row>
    <x:row r="13" ht="62" customHeight="1">
      <x:c r="A13" s="46" t="str">
        <x:v>C09</x:v>
      </x:c>
      <x:c r="B13" s="46" t="str">
        <x:v>Flexible protective accessory</x:v>
      </x:c>
      <x:c r="C13" s="46" t="str">
        <x:v>Phone cases, device bumpers and sleeves</x:v>
      </x:c>
      <x:c r="D13" s="46" t="str">
        <x:v>Yellow</x:v>
      </x:c>
      <x:c r="E13" s="46" t="str">
        <x:v>GPSR plus exact-fit validation and control of marketing claims; device-specific test evidence for protection claims.</x:v>
      </x:c>
      <x:c r="F13" s="46" t="str">
        <x:v>C01 file plus device fit data, material hardness/batch, dimensional tolerance and claim substantiation.</x:v>
      </x:c>
      <x:c r="G13" s="46" t="str">
        <x:v>Fit, button/port access, removal cycles, heat/vent check and controlled drop tests if claimed.</x:v>
      </x:c>
      <x:c r="H13" s="46" t="str">
        <x:v>Compatibility, no-waterproof/no-certified-impact disclaimer unless tested.</x:v>
      </x:c>
      <x:c r="I13" s="46" t="str">
        <x:v>Guided/local production until device library is validated.</x:v>
      </x:c>
      <x:c r="J13" s="46" t="str">
        <x:v>S11; S28</x:v>
      </x:c>
    </x:row>
    <x:row r="14" ht="62" customHeight="1">
      <x:c r="A14" s="46" t="str">
        <x:v>C10</x:v>
      </x:c>
      <x:c r="B14" s="46" t="str">
        <x:v>Replacement part</x:v>
      </x:c>
      <x:c r="C14" s="46" t="str">
        <x:v>Part copied or recreated for an existing product</x:v>
      </x:c>
      <x:c r="D14" s="46" t="str">
        <x:v>Yellow / Red</x:v>
      </x:c>
      <x:c r="E14" s="46" t="str">
        <x:v>GPSR, product-specific safety assessment, design/IP review and compatibility wording; safety-critical parts excluded.</x:v>
      </x:c>
      <x:c r="F14" s="46" t="str">
        <x:v>Original product/part identity, measurements, failure-mode analysis, intended material, fit/load/temp tests, rights review.</x:v>
      </x:c>
      <x:c r="G14" s="46" t="str">
        <x:v>Fit, load/torque/temp/functional tests appropriate to the part and consequence of failure.</x:v>
      </x:c>
      <x:c r="H14" s="46" t="str">
        <x:v>Exact compatibility, exclusions and installation instructions.</x:v>
      </x:c>
      <x:c r="I14" s="46" t="str">
        <x:v>Case-by-case review; no generic automatic approval.</x:v>
      </x:c>
      <x:c r="J14" s="46" t="str">
        <x:v>S10; S11; S16; S29</x:v>
      </x:c>
    </x:row>
    <x:row r="15" ht="62" customHeight="1">
      <x:c r="A15" s="46" t="str">
        <x:v>C11</x:v>
      </x:c>
      <x:c r="B15" s="46" t="str">
        <x:v>Small parts and adult collectibles</x:v>
      </x:c>
      <x:c r="C15" s="46" t="str">
        <x:v>Charms, fidgets, articulated or detachable components</x:v>
      </x:c>
      <x:c r="D15" s="46" t="str">
        <x:v>Yellow / Red</x:v>
      </x:c>
      <x:c r="E15" s="46" t="str">
        <x:v>GPSR plus foreseeable child access, choking, pinch, breakage and classification analysis.</x:v>
      </x:c>
      <x:c r="F15" s="46" t="str">
        <x:v>C01 file plus dimensions, break test, age/marketing rationale and packaging warning review.</x:v>
      </x:c>
      <x:c r="G15" s="46" t="str">
        <x:v>Small-parts, break, cycle, pinch-point and sharp-edge tests.</x:v>
      </x:c>
      <x:c r="H15" s="46" t="str">
        <x:v>Adult-use and keep-away-from-young-children warnings where justified.</x:v>
      </x:c>
      <x:c r="I15" s="46" t="str">
        <x:v>Original IP only; specialist review where design/function resembles a toy.</x:v>
      </x:c>
      <x:c r="J15" s="46" t="str">
        <x:v>S11; S14</x:v>
      </x:c>
    </x:row>
    <x:row r="16" ht="62" customHeight="1">
      <x:c r="A16" s="46" t="str">
        <x:v>C12</x:v>
      </x:c>
      <x:c r="B16" s="46" t="str">
        <x:v>Personalized/customer-content product</x:v>
      </x:c>
      <x:c r="C16" s="46" t="str">
        <x:v>Names, photos, maps, logos, QR codes and event lists</x:v>
      </x:c>
      <x:c r="D16" s="46" t="str">
        <x:v>Green / Yellow</x:v>
      </x:c>
      <x:c r="E16" s="46" t="str">
        <x:v>GPSR plus data/content rights, proof approval and consumer-information workflow; personalized-goods withdrawal exception must be communicated correctly.</x:v>
      </x:c>
      <x:c r="F16" s="46" t="str">
        <x:v>Customer attestation, preview/proof, source-data/license, production revision and order record.</x:v>
      </x:c>
      <x:c r="G16" s="46" t="str">
        <x:v>Legibility/scan/content verification and batch completeness.</x:v>
      </x:c>
      <x:c r="H16" s="46" t="str">
        <x:v>Customer-approved proof, content responsibility, personalization/withdrawal terms.</x:v>
      </x:c>
      <x:c r="I16" s="46" t="str">
        <x:v>Use standardized rights attestation and proof approval before manufacture.</x:v>
      </x:c>
      <x:c r="J16" s="46" t="str">
        <x:v>S16; S17; S18; S24</x:v>
      </x:c>
    </x:row>
    <x:row r="17" ht="62" customHeight="1">
      <x:c r="A17" s="46" t="str">
        <x:v>C13</x:v>
      </x:c>
      <x:c r="B17" s="46" t="str">
        <x:v>Third-party 3D model or artwork</x:v>
      </x:c>
      <x:c r="C17" s="46" t="str">
        <x:v>Downloaded model, fan art, branded shape or licensed asset</x:v>
      </x:c>
      <x:c r="D17" s="46" t="str">
        <x:v>Red until cleared</x:v>
      </x:c>
      <x:c r="E17" s="46" t="str">
        <x:v>A downloadable file is not automatically commercially usable; copyright, design, trademark and contract license conditions all require review.</x:v>
      </x:c>
      <x:c r="F17" s="46" t="str">
        <x:v>License text/screenshot, purchase/subscription record, creator identity, permitted products/territory/term, attribution and modification record.</x:v>
      </x:c>
      <x:c r="G17" s="46" t="str">
        <x:v>Rights review rather than physical testing; verify license remains valid for each revision.</x:v>
      </x:c>
      <x:c r="H17" s="46" t="str">
        <x:v>Attribution and notices required by license; no misleading endorsement.</x:v>
      </x:c>
      <x:c r="I17" s="46" t="str">
        <x:v>Prefer own/commissioned parametric designs; block SKU without proof of rights.</x:v>
      </x:c>
      <x:c r="J17" s="46" t="str">
        <x:v>S16; S17; S18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f0018d19cbf436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5" hidden="0" customWidth="1"/>
    <x:col min="4" max="4" width="54" hidden="0" customWidth="1"/>
  </x:cols>
  <x:sheetData>
    <x:row r="1" ht="32" customHeight="1">
      <x:c r="A1" s="70" t="str">
        <x:v>Editable commercial and manufacturing assumptions</x:v>
      </x:c>
      <x:c r="B1" s="70"/>
      <x:c r="C1" s="70"/>
      <x:c r="D1" s="70"/>
    </x:row>
    <x:row r="2" ht="30" customHeight="1">
      <x:c r="A2" s="56" t="str">
        <x:v>Yellow cells are editable. Product prices, margins, opportunity scores and launch waves update from these inputs.</x:v>
      </x:c>
      <x:c r="B2" s="56" t="str"/>
      <x:c r="C2" s="56" t="str"/>
      <x:c r="D2" s="56" t="str"/>
    </x:row>
    <x:row r="3">
      <x:c r="A3" s="46"/>
      <x:c r="B3" s="46"/>
      <x:c r="C3" s="46"/>
      <x:c r="D3" s="46"/>
    </x:row>
    <x:row r="4" ht="24" customHeight="1">
      <x:c r="A4" s="38" t="str">
        <x:v>COMMERCIAL INPUTS</x:v>
      </x:c>
      <x:c r="B4" s="38" t="str"/>
      <x:c r="C4" s="38" t="str"/>
      <x:c r="D4" s="38" t="str"/>
    </x:row>
    <x:row r="5">
      <x:c r="A5" s="46" t="str">
        <x:v>VAT rate</x:v>
      </x:c>
      <x:c r="B5" s="71" t="n">
        <x:v>0.19</x:v>
      </x:c>
      <x:c r="C5" s="46" t="str">
        <x:v>Fraction</x:v>
      </x:c>
      <x:c r="D5" s="46" t="str">
        <x:v>German standard VAT assumption; adjust for target market and tax status.</x:v>
      </x:c>
    </x:row>
    <x:row r="6">
      <x:c r="A6" s="46" t="str">
        <x:v>Transaction / payment fee</x:v>
      </x:c>
      <x:c r="B6" s="71" t="n">
        <x:v>0.05</x:v>
      </x:c>
      <x:c r="C6" s="46" t="str">
        <x:v>Fraction</x:v>
      </x:c>
      <x:c r="D6" s="46" t="str">
        <x:v>Marketplace, payment and service fee used in contribution calculation.</x:v>
      </x:c>
    </x:row>
    <x:row r="7">
      <x:c r="A7" s="46" t="str">
        <x:v>Target contribution margin</x:v>
      </x:c>
      <x:c r="B7" s="71" t="n">
        <x:v>0.55</x:v>
      </x:c>
      <x:c r="C7" s="46" t="str">
        <x:v>Fraction</x:v>
      </x:c>
      <x:c r="D7" s="46" t="str">
        <x:v>Target after modeled local COGS and transaction fee.</x:v>
      </x:c>
    </x:row>
    <x:row r="8">
      <x:c r="A8" s="46" t="str">
        <x:v>Labor rate</x:v>
      </x:c>
      <x:c r="B8" s="72" t="n">
        <x:v>32</x:v>
      </x:c>
      <x:c r="C8" s="46" t="str">
        <x:v>€/hour</x:v>
      </x:c>
      <x:c r="D8" s="46" t="str">
        <x:v>Hands-on labor only; excludes unattended print time.</x:v>
      </x:c>
    </x:row>
    <x:row r="9">
      <x:c r="A9" s="46" t="str">
        <x:v>Waste allowance</x:v>
      </x:c>
      <x:c r="B9" s="71" t="n">
        <x:v>0.08</x:v>
      </x:c>
      <x:c r="C9" s="46" t="str">
        <x:v>Fraction</x:v>
      </x:c>
      <x:c r="D9" s="46" t="str">
        <x:v>Added to modeled material cost.</x:v>
      </x:c>
    </x:row>
    <x:row r="10">
      <x:c r="A10" s="46" t="str">
        <x:v>QA reserve</x:v>
      </x:c>
      <x:c r="B10" s="71" t="n">
        <x:v>0.05</x:v>
      </x:c>
      <x:c r="C10" s="46" t="str">
        <x:v>Fraction</x:v>
      </x:c>
      <x:c r="D10" s="46" t="str">
        <x:v>Reserve on packaging, royalty, material, machine and labor direct costs.</x:v>
      </x:c>
    </x:row>
    <x:row r="11">
      <x:c r="A11" s="46" t="str"/>
      <x:c r="B11" s="46" t="str"/>
      <x:c r="C11" s="46" t="str"/>
      <x:c r="D11" s="46" t="str"/>
    </x:row>
    <x:row r="12" ht="24" customHeight="1">
      <x:c r="A12" s="38" t="str">
        <x:v>MACHINE RATES</x:v>
      </x:c>
      <x:c r="B12" s="38" t="str"/>
      <x:c r="C12" s="38" t="str"/>
      <x:c r="D12" s="38" t="str"/>
    </x:row>
    <x:row r="13">
      <x:c r="A13" s="46" t="str">
        <x:v>Core open printer</x:v>
      </x:c>
      <x:c r="B13" s="72" t="n">
        <x:v>0.75</x:v>
      </x:c>
      <x:c r="C13" s="46" t="str">
        <x:v>€/print hour</x:v>
      </x:c>
      <x:c r="D13" s="46" t="str">
        <x:v>PLA/PETG-class production node.</x:v>
      </x:c>
    </x:row>
    <x:row r="14">
      <x:c r="A14" s="46" t="str">
        <x:v>Large-format printer</x:v>
      </x:c>
      <x:c r="B14" s="72" t="n">
        <x:v>1.15</x:v>
      </x:c>
      <x:c r="C14" s="46" t="str">
        <x:v>€/print hour</x:v>
      </x:c>
      <x:c r="D14" s="46" t="str">
        <x:v>Large build volume such as a 400 mm class machine.</x:v>
      </x:c>
    </x:row>
    <x:row r="15">
      <x:c r="A15" s="46" t="str">
        <x:v>Enclosed printer</x:v>
      </x:c>
      <x:c r="B15" s="72" t="n">
        <x:v>0.95</x:v>
      </x:c>
      <x:c r="C15" s="46" t="str">
        <x:v>€/print hour</x:v>
      </x:c>
      <x:c r="D15" s="46" t="str">
        <x:v>ASA and other controlled-temperature jobs.</x:v>
      </x:c>
    </x:row>
    <x:row r="16">
      <x:c r="A16" s="46" t="str">
        <x:v>Flexible-material printer</x:v>
      </x:c>
      <x:c r="B16" s="72" t="n">
        <x:v>0.85</x:v>
      </x:c>
      <x:c r="C16" s="46" t="str">
        <x:v>€/print hour</x:v>
      </x:c>
      <x:c r="D16" s="46" t="str">
        <x:v>TPU-qualified node and profile.</x:v>
      </x:c>
    </x:row>
    <x:row r="17">
      <x:c r="A17" s="46" t="str"/>
      <x:c r="B17" s="50" t="str"/>
      <x:c r="C17" s="46" t="str"/>
      <x:c r="D17" s="46" t="str"/>
    </x:row>
    <x:row r="18" ht="24" customHeight="1">
      <x:c r="A18" s="38" t="str">
        <x:v>PACKAGING COST</x:v>
      </x:c>
      <x:c r="B18" s="67" t="str"/>
      <x:c r="C18" s="38" t="str"/>
      <x:c r="D18" s="38" t="str"/>
    </x:row>
    <x:row r="19">
      <x:c r="A19" s="46" t="str">
        <x:v>S</x:v>
      </x:c>
      <x:c r="B19" s="72" t="n">
        <x:v>0.6</x:v>
      </x:c>
      <x:c r="C19" s="46" t="str">
        <x:v>€</x:v>
      </x:c>
      <x:c r="D19" s="46" t="str">
        <x:v>Small part or kit.</x:v>
      </x:c>
    </x:row>
    <x:row r="20">
      <x:c r="A20" s="46" t="str">
        <x:v>M</x:v>
      </x:c>
      <x:c r="B20" s="72" t="n">
        <x:v>1</x:v>
      </x:c>
      <x:c r="C20" s="46" t="str">
        <x:v>€</x:v>
      </x:c>
      <x:c r="D20" s="46" t="str">
        <x:v>Core catalog product.</x:v>
      </x:c>
    </x:row>
    <x:row r="21">
      <x:c r="A21" s="46" t="str">
        <x:v>L</x:v>
      </x:c>
      <x:c r="B21" s="72" t="n">
        <x:v>1.8</x:v>
      </x:c>
      <x:c r="C21" s="46" t="str">
        <x:v>€</x:v>
      </x:c>
      <x:c r="D21" s="46" t="str">
        <x:v>Large-format product.</x:v>
      </x:c>
    </x:row>
    <x:row r="22">
      <x:c r="A22" s="46" t="str">
        <x:v>XL</x:v>
      </x:c>
      <x:c r="B22" s="72" t="n">
        <x:v>3</x:v>
      </x:c>
      <x:c r="C22" s="46" t="str">
        <x:v>€</x:v>
      </x:c>
      <x:c r="D22" s="46" t="str">
        <x:v>Multipart / bulky local fulfillment.</x:v>
      </x:c>
    </x:row>
    <x:row r="23">
      <x:c r="A23" s="46" t="str"/>
      <x:c r="B23" s="50" t="str"/>
      <x:c r="C23" s="46" t="str"/>
      <x:c r="D23" s="46" t="str"/>
    </x:row>
    <x:row r="24" ht="24" customHeight="1">
      <x:c r="A24" s="38" t="str">
        <x:v>MINIMUM NET PRICE</x:v>
      </x:c>
      <x:c r="B24" s="67" t="str"/>
      <x:c r="C24" s="38" t="str"/>
      <x:c r="D24" s="38" t="str"/>
    </x:row>
    <x:row r="25">
      <x:c r="A25" s="46" t="str">
        <x:v>S</x:v>
      </x:c>
      <x:c r="B25" s="72" t="n">
        <x:v>7.5</x:v>
      </x:c>
      <x:c r="C25" s="46" t="str">
        <x:v>€</x:v>
      </x:c>
      <x:c r="D25" s="46" t="str">
        <x:v>Commercial price floor before VAT.</x:v>
      </x:c>
    </x:row>
    <x:row r="26">
      <x:c r="A26" s="46" t="str">
        <x:v>M</x:v>
      </x:c>
      <x:c r="B26" s="72" t="n">
        <x:v>12.5</x:v>
      </x:c>
      <x:c r="C26" s="46" t="str">
        <x:v>€</x:v>
      </x:c>
      <x:c r="D26" s="46" t="str">
        <x:v>Commercial price floor before VAT.</x:v>
      </x:c>
    </x:row>
    <x:row r="27">
      <x:c r="A27" s="46" t="str">
        <x:v>L</x:v>
      </x:c>
      <x:c r="B27" s="72" t="n">
        <x:v>25</x:v>
      </x:c>
      <x:c r="C27" s="46" t="str">
        <x:v>€</x:v>
      </x:c>
      <x:c r="D27" s="46" t="str">
        <x:v>Commercial price floor before VAT.</x:v>
      </x:c>
    </x:row>
    <x:row r="28">
      <x:c r="A28" s="46" t="str">
        <x:v>XL</x:v>
      </x:c>
      <x:c r="B28" s="72" t="n">
        <x:v>40</x:v>
      </x:c>
      <x:c r="C28" s="46" t="str">
        <x:v>€</x:v>
      </x:c>
      <x:c r="D28" s="46" t="str">
        <x:v>Commercial price floor before VAT.</x:v>
      </x:c>
    </x:row>
    <x:row r="29">
      <x:c r="A29" s="46" t="str"/>
      <x:c r="B29" s="50" t="str"/>
      <x:c r="C29" s="46" t="str"/>
      <x:c r="D29" s="46" t="str"/>
    </x:row>
    <x:row r="30" ht="24" customHeight="1">
      <x:c r="A30" s="38" t="str">
        <x:v>MATERIAL COST</x:v>
      </x:c>
      <x:c r="B30" s="67" t="str"/>
      <x:c r="C30" s="38" t="str"/>
      <x:c r="D30" s="38" t="str"/>
    </x:row>
    <x:row r="31">
      <x:c r="A31" s="46" t="str">
        <x:v>PLA</x:v>
      </x:c>
      <x:c r="B31" s="72" t="n">
        <x:v>22</x:v>
      </x:c>
      <x:c r="C31" s="46" t="str">
        <x:v>€/kg</x:v>
      </x:c>
      <x:c r="D31" s="46" t="str">
        <x:v>Indoor decoration and low-heat use.</x:v>
      </x:c>
    </x:row>
    <x:row r="32">
      <x:c r="A32" s="46" t="str">
        <x:v>PETG</x:v>
      </x:c>
      <x:c r="B32" s="72" t="n">
        <x:v>26</x:v>
      </x:c>
      <x:c r="C32" s="46" t="str">
        <x:v>€/kg</x:v>
      </x:c>
      <x:c r="D32" s="46" t="str">
        <x:v>Default functional indoor / moisture-resistant material.</x:v>
      </x:c>
    </x:row>
    <x:row r="33">
      <x:c r="A33" s="46" t="str">
        <x:v>ASA</x:v>
      </x:c>
      <x:c r="B33" s="72" t="n">
        <x:v>32</x:v>
      </x:c>
      <x:c r="C33" s="46" t="str">
        <x:v>€/kg</x:v>
      </x:c>
      <x:c r="D33" s="46" t="str">
        <x:v>Outdoor / UV use on qualified enclosed nodes.</x:v>
      </x:c>
    </x:row>
    <x:row r="34">
      <x:c r="A34" s="46" t="str">
        <x:v>TPU</x:v>
      </x:c>
      <x:c r="B34" s="72" t="n">
        <x:v>35</x:v>
      </x:c>
      <x:c r="C34" s="46" t="str">
        <x:v>€/kg</x:v>
      </x:c>
      <x:c r="D34" s="46" t="str">
        <x:v>Flexible grips, sleeves and bumpers.</x:v>
      </x:c>
    </x:row>
    <x:row r="35">
      <x:c r="A35" s="46" t="str">
        <x:v>PC Blend</x:v>
      </x:c>
      <x:c r="B35" s="72" t="n">
        <x:v>45</x:v>
      </x:c>
      <x:c r="C35" s="46" t="str">
        <x:v>€/kg</x:v>
      </x:c>
      <x:c r="D35" s="46" t="str">
        <x:v>Higher-temperature specialist route.</x:v>
      </x:c>
    </x:row>
    <x:row r="36">
      <x:c r="A36" s="46" t="str">
        <x:v>PA / Engineering</x:v>
      </x:c>
      <x:c r="B36" s="72" t="n">
        <x:v>55</x:v>
      </x:c>
      <x:c r="C36" s="46" t="str">
        <x:v>€/kg</x:v>
      </x:c>
      <x:c r="D36" s="46" t="str">
        <x:v>Qualified engineering route; grade-specific validation required.</x:v>
      </x:c>
    </x:row>
    <x:row r="37">
      <x:c r="A37" s="46" t="str"/>
      <x:c r="B37" s="46" t="str"/>
      <x:c r="C37" s="46" t="str"/>
      <x:c r="D37" s="46" t="str"/>
    </x:row>
    <x:row r="38" ht="24" customHeight="1">
      <x:c r="A38" s="38" t="str">
        <x:v>OPPORTUNITY SCORE WEIGHTS</x:v>
      </x:c>
      <x:c r="B38" s="38" t="str"/>
      <x:c r="C38" s="38" t="str"/>
      <x:c r="D38" s="38" t="str"/>
    </x:row>
    <x:row r="39">
      <x:c r="A39" s="46" t="str">
        <x:v>2026 trend signal</x:v>
      </x:c>
      <x:c r="B39" s="71" t="n">
        <x:v>0.3</x:v>
      </x:c>
      <x:c r="C39" s="46" t="str">
        <x:v>Weight</x:v>
      </x:c>
      <x:c r="D39" s="46" t="str">
        <x:v>Trend score is already on a 0–100 scale.</x:v>
      </x:c>
    </x:row>
    <x:row r="40">
      <x:c r="A40" s="46" t="str">
        <x:v>Additive-manufacturing advantage</x:v>
      </x:c>
      <x:c r="B40" s="71" t="n">
        <x:v>0.2</x:v>
      </x:c>
      <x:c r="C40" s="46" t="str">
        <x:v>Weight</x:v>
      </x:c>
      <x:c r="D40" s="46" t="str">
        <x:v>1–5 input converted to 0–100.</x:v>
      </x:c>
    </x:row>
    <x:row r="41">
      <x:c r="A41" s="46" t="str">
        <x:v>Customization depth</x:v>
      </x:c>
      <x:c r="B41" s="71" t="n">
        <x:v>0.15</x:v>
      </x:c>
      <x:c r="C41" s="46" t="str">
        <x:v>Weight</x:v>
      </x:c>
      <x:c r="D41" s="46" t="str">
        <x:v>1–5 input converted to 0–100.</x:v>
      </x:c>
    </x:row>
    <x:row r="42">
      <x:c r="A42" s="46" t="str">
        <x:v>Nontechnical UX fit</x:v>
      </x:c>
      <x:c r="B42" s="71" t="n">
        <x:v>0.15</x:v>
      </x:c>
      <x:c r="C42" s="46" t="str">
        <x:v>Weight</x:v>
      </x:c>
      <x:c r="D42" s="46" t="str">
        <x:v>1–5 input converted to 0–100.</x:v>
      </x:c>
    </x:row>
    <x:row r="43">
      <x:c r="A43" s="46" t="str">
        <x:v>Manufacturing economics</x:v>
      </x:c>
      <x:c r="B43" s="71" t="n">
        <x:v>0.1</x:v>
      </x:c>
      <x:c r="C43" s="46" t="str">
        <x:v>Weight</x:v>
      </x:c>
      <x:c r="D43" s="46" t="str">
        <x:v>1–5 input converted to 0–100.</x:v>
      </x:c>
    </x:row>
    <x:row r="44">
      <x:c r="A44" s="46" t="str">
        <x:v>Inverse risk</x:v>
      </x:c>
      <x:c r="B44" s="71" t="n">
        <x:v>0.1</x:v>
      </x:c>
      <x:c r="C44" s="46" t="str">
        <x:v>Weight</x:v>
      </x:c>
      <x:c r="D44" s="46" t="str">
        <x:v>Lower regulatory / safety risk scores higher.</x:v>
      </x:c>
    </x:row>
    <x:row r="45">
      <x:c r="A45" s="46" t="str"/>
      <x:c r="B45" s="46" t="str"/>
      <x:c r="C45" s="46" t="str"/>
      <x:c r="D45" s="46" t="str"/>
    </x:row>
    <x:row r="46" ht="24" customHeight="1">
      <x:c r="A46" s="38" t="str">
        <x:v>CATALOG SIZE CLASSES</x:v>
      </x:c>
      <x:c r="B46" s="38" t="str"/>
      <x:c r="C46" s="38" t="str"/>
      <x:c r="D46" s="38" t="str"/>
    </x:row>
    <x:row r="47">
      <x:c r="A47" s="46" t="str">
        <x:v>S</x:v>
      </x:c>
      <x:c r="B47" s="46" t="str">
        <x:v>≤120 mm max dimension</x:v>
      </x:c>
      <x:c r="C47" s="46" t="str"/>
      <x:c r="D47" s="46" t="str">
        <x:v>Clips, charms, adapters and small kits.</x:v>
      </x:c>
    </x:row>
    <x:row r="48">
      <x:c r="A48" s="46" t="str">
        <x:v>M</x:v>
      </x:c>
      <x:c r="B48" s="46" t="str">
        <x:v>≤240 × 240 × 240 mm</x:v>
      </x:c>
      <x:c r="C48" s="46" t="str"/>
      <x:c r="D48" s="46" t="str">
        <x:v>Default interoperable core envelope.</x:v>
      </x:c>
    </x:row>
    <x:row r="49">
      <x:c r="A49" s="46" t="str">
        <x:v>L</x:v>
      </x:c>
      <x:c r="B49" s="46" t="str">
        <x:v>≤400 × 400 × 480 mm</x:v>
      </x:c>
      <x:c r="C49" s="46" t="str"/>
      <x:c r="D49" s="46" t="str">
        <x:v>Large-node envelope; confirm exact printer margins.</x:v>
      </x:c>
    </x:row>
    <x:row r="50">
      <x:c r="A50" s="46" t="str">
        <x:v>XL</x:v>
      </x:c>
      <x:c r="B50" s="46" t="str">
        <x:v>Multipart</x:v>
      </x:c>
      <x:c r="C50" s="46" t="str"/>
      <x:c r="D50" s="46" t="str">
        <x:v>Design for assembly rather than a single giant printer.</x:v>
      </x:c>
    </x:row>
    <x:row r="52" ht="24" customHeight="1">
      <x:c r="A52" s="38" t="str">
        <x:v>MODEL CHECKS</x:v>
      </x:c>
      <x:c r="B52" s="38" t="str"/>
      <x:c r="C52" s="38" t="str"/>
      <x:c r="D52" s="38" t="str"/>
    </x:row>
    <x:row r="53">
      <x:c r="A53" t="str">
        <x:v>Opportunity weights</x:v>
      </x:c>
      <x:c r="B53" s="85" t="n">
        <x:f>SUM(B39:B44)</x:f>
        <x:v>1</x:v>
      </x:c>
      <x:c r="C53" t="str">
        <x:v>Should equal 100%</x:v>
      </x:c>
      <x:c r="D53" t="str"/>
    </x:row>
    <x:row r="54">
      <x:c r="A54" t="str">
        <x:v>Target margin + transaction fee</x:v>
      </x:c>
      <x:c r="B54" s="85" t="n">
        <x:f>B6+B7</x:f>
        <x:v>0.6000000000000001</x:v>
      </x:c>
      <x:c r="C54" t="str">
        <x:v>Must be below 100%</x:v>
      </x:c>
      <x:c r="D54" t="str"/>
    </x:row>
  </x:sheetData>
  <x:mergeCells>
    <x:mergeCell ref="A1:D1"/>
    <x:mergeCell ref="A2:D2"/>
  </x:mergeCells>
  <x:conditionalFormatting sqref="B53:B53">
    <x:cfRule type="expression" dxfId="12" priority="1">
      <x:formula>ABS(B53-1)&lt;0.0001</x:formula>
    </x:cfRule>
    <x:cfRule type="expression" dxfId="13" priority="2">
      <x:formula>ABS(B53-1)&gt;=0.0001</x:formula>
    </x:cfRule>
  </x:conditionalFormatting>
  <x:conditionalFormatting sqref="B54:B54">
    <x:cfRule type="expression" dxfId="14" priority="3">
      <x:formula>B54&lt;1</x:formula>
    </x:cfRule>
    <x:cfRule type="expression" dxfId="15" priority="4">
      <x:formula>B54&gt;=1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0" hidden="0" customWidth="1"/>
    <x:col min="4" max="4" width="42" hidden="0" customWidth="1"/>
    <x:col min="5" max="5" width="13" hidden="0" customWidth="1"/>
    <x:col min="6" max="6" width="13" hidden="0" customWidth="1"/>
    <x:col min="7" max="7" width="48" hidden="0" customWidth="1"/>
    <x:col min="8" max="8" width="58" hidden="0" customWidth="1"/>
    <x:col min="9" max="9" width="34" hidden="0" customWidth="1"/>
  </x:cols>
  <x:sheetData>
    <x:row r="1" ht="34" customHeight="1">
      <x:c r="A1" s="42" t="str">
        <x:v>ID</x:v>
      </x:c>
      <x:c r="B1" s="42" t="str">
        <x:v>Category</x:v>
      </x:c>
      <x:c r="C1" s="42" t="str">
        <x:v>Publisher</x:v>
      </x:c>
      <x:c r="D1" s="42" t="str">
        <x:v>Title</x:v>
      </x:c>
      <x:c r="E1" s="42" t="str">
        <x:v>Source Date</x:v>
      </x:c>
      <x:c r="F1" s="42" t="str">
        <x:v>Checked</x:v>
      </x:c>
      <x:c r="G1" s="42" t="str">
        <x:v>Evidence Used</x:v>
      </x:c>
      <x:c r="H1" s="42" t="str">
        <x:v>URL</x:v>
      </x:c>
      <x:c r="I1" s="42" t="str">
        <x:v>Used For</x:v>
      </x:c>
    </x:row>
    <x:row r="2" ht="54" customHeight="1">
      <x:c r="A2" s="46" t="str">
        <x:v>S01</x:v>
      </x:c>
      <x:c r="B2" s="46" t="str">
        <x:v>2026 trend report</x:v>
      </x:c>
      <x:c r="C2" s="46" t="str">
        <x:v>Etsy</x:v>
      </x:c>
      <x:c r="D2" s="46" t="str">
        <x:v>Seller Trend Report: Spring and Summer 2026</x:v>
      </x:c>
      <x:c r="E2" s="46" t="str">
        <x:v>2026</x:v>
      </x:c>
      <x:c r="F2" s="46" t="str">
        <x:v>2026-08-10</x:v>
      </x:c>
      <x:c r="G2" s="46" t="str">
        <x:v>Reports polka-dot phone cases +835%, mahjong racks +228%, journal charms +395%, wall-art decor +110%, and analog/personal keepsake themes.</x:v>
      </x:c>
      <x:c r="H2" s="46" t="str">
        <x:v>https://www.etsy.com/seller-handbook/article/1473931456647</x:v>
      </x:c>
      <x:c r="I2" s="46" t="str">
        <x:v>Trend scoring for phone cases, mahjong, journaling, wall art and personalization.</x:v>
      </x:c>
    </x:row>
    <x:row r="3" ht="54" customHeight="1">
      <x:c r="A3" s="46" t="str">
        <x:v>S02</x:v>
      </x:c>
      <x:c r="B3" s="46" t="str">
        <x:v>2026 trend report</x:v>
      </x:c>
      <x:c r="C3" s="46" t="str">
        <x:v>Pinterest Business</x:v>
      </x:c>
      <x:c r="D3" s="46" t="str">
        <x:v>Pinterest Predicts 2026</x:v>
      </x:c>
      <x:c r="E3" s="46" t="str">
        <x:v>2025/2026</x:v>
      </x:c>
      <x:c r="F3" s="46" t="str">
        <x:v>2026-08-10</x:v>
      </x:c>
      <x:c r="G3" s="46" t="str">
        <x:v>Highlights 2026 visual/home themes including sculptural silhouettes and expressive decor.</x:v>
      </x:c>
      <x:c r="H3" s="46" t="str">
        <x:v>https://business.pinterest.com/pinterest-predicts/</x:v>
      </x:c>
      <x:c r="I3" s="46" t="str">
        <x:v>Planters, vases, wall art and lampshade style direction.</x:v>
      </x:c>
    </x:row>
    <x:row r="4" ht="54" customHeight="1">
      <x:c r="A4" s="46" t="str">
        <x:v>S03</x:v>
      </x:c>
      <x:c r="B4" s="46" t="str">
        <x:v>2026 ecommerce trend article</x:v>
      </x:c>
      <x:c r="C4" s="46" t="str">
        <x:v>Printful</x:v>
      </x:c>
      <x:c r="D4" s="46" t="str">
        <x:v>21 Trending Products to Sell Online in 2026</x:v>
      </x:c>
      <x:c r="E4" s="46" t="str">
        <x:v>2026-06-09</x:v>
      </x:c>
      <x:c r="F4" s="46" t="str">
        <x:v>2026-08-10</x:v>
      </x:c>
      <x:c r="G4" s="46" t="str">
        <x:v>Identifies wall art and home gadgets among 2026 ecommerce product opportunities and recommends current trend validation.</x:v>
      </x:c>
      <x:c r="H4" s="46" t="str">
        <x:v>https://www.printful.com/blog/trending-products-to-sell</x:v>
      </x:c>
      <x:c r="I4" s="46" t="str">
        <x:v>Wall art, home accessories and demand-validation methodology.</x:v>
      </x:c>
    </x:row>
    <x:row r="5" ht="54" customHeight="1">
      <x:c r="A5" s="46" t="str">
        <x:v>S04</x:v>
      </x:c>
      <x:c r="B5" s="46" t="str">
        <x:v>2026 craft trend report coverage</x:v>
      </x:c>
      <x:c r="C5" s="46" t="str">
        <x:v>Better Homes &amp; Gardens / Michaels</x:v>
      </x:c>
      <x:c r="D5" s="46" t="str">
        <x:v>The 8 Biggest Crafting Trends in 2026</x:v>
      </x:c>
      <x:c r="E5" s="46" t="str">
        <x:v>2026</x:v>
      </x:c>
      <x:c r="F5" s="46" t="str">
        <x:v>2026-08-10</x:v>
      </x:c>
      <x:c r="G5" s="46" t="str">
        <x:v>Reports junk journaling +63%, craft nights +103%, DIY home decor +79%, party decor +125% and charms +400% signals.</x:v>
      </x:c>
      <x:c r="H5" s="46" t="str">
        <x:v>https://www.bhg.com/michaels-crafting-trends-2026-11922847</x:v>
      </x:c>
      <x:c r="I5" s="46" t="str">
        <x:v>Journaling, tabletop/social hobbies, event decor and tactile design.</x:v>
      </x:c>
    </x:row>
    <x:row r="6" ht="54" customHeight="1">
      <x:c r="A6" s="46" t="str">
        <x:v>S05</x:v>
      </x:c>
      <x:c r="B6" s="46" t="str">
        <x:v>2026 home-office trend coverage</x:v>
      </x:c>
      <x:c r="C6" s="46" t="str">
        <x:v>TechRadar / IKEA trend reporting</x:v>
      </x:c>
      <x:c r="D6" s="46" t="str">
        <x:v>IKEA home office trends for 2026</x:v>
      </x:c>
      <x:c r="E6" s="46" t="str">
        <x:v>2026</x:v>
      </x:c>
      <x:c r="F6" s="46" t="str">
        <x:v>2026-08-10</x:v>
      </x:c>
      <x:c r="G6" s="46" t="str">
        <x:v>Emphasizes home-office accessories, storage, laptop stands and calming personalized workspaces.</x:v>
      </x:c>
      <x:c r="H6" s="46" t="str">
        <x:v>https://www.techradar.com/home/ikea-home-office-trends-for-2026-breathe-life-into-your-study-with-calming-greens-and-natural-cork-accessories</x:v>
      </x:c>
      <x:c r="I6" s="46" t="str">
        <x:v>Desk organizers, device stands and setup accessories.</x:v>
      </x:c>
    </x:row>
    <x:row r="7" ht="54" customHeight="1">
      <x:c r="A7" s="46" t="str">
        <x:v>S06</x:v>
      </x:c>
      <x:c r="B7" s="46" t="str">
        <x:v>Marketplace analytics</x:v>
      </x:c>
      <x:c r="C7" s="46" t="str">
        <x:v>ASINsight</x:v>
      </x:c>
      <x:c r="D7" s="46" t="str">
        <x:v>Best Selling Desk Organizer: 2026</x:v>
      </x:c>
      <x:c r="E7" s="46" t="str">
        <x:v>2026-02-08</x:v>
      </x:c>
      <x:c r="F7" s="46" t="str">
        <x:v>2026-08-10</x:v>
      </x:c>
      <x:c r="G7" s="46" t="str">
        <x:v>Third-party Amazon analytics indicate substantial sales activity in desk/drawer organizer listings.</x:v>
      </x:c>
      <x:c r="H7" s="46" t="str">
        <x:v>https://www.asinsight.com/report/US/desk-organizer</x:v>
      </x:c>
      <x:c r="I7" s="46" t="str">
        <x:v>Directional demand evidence; figures are third-party estimates.</x:v>
      </x:c>
    </x:row>
    <x:row r="8" ht="54" customHeight="1">
      <x:c r="A8" s="46" t="str">
        <x:v>S07</x:v>
      </x:c>
      <x:c r="B8" s="46" t="str">
        <x:v>Marketplace analytics</x:v>
      </x:c>
      <x:c r="C8" s="46" t="str">
        <x:v>ASINsight</x:v>
      </x:c>
      <x:c r="D8" s="46" t="str">
        <x:v>Best Selling Organizers for Bathroom: July 2026</x:v>
      </x:c>
      <x:c r="E8" s="46" t="str">
        <x:v>2026-07-04</x:v>
      </x:c>
      <x:c r="F8" s="46" t="str">
        <x:v>2026-08-10</x:v>
      </x:c>
      <x:c r="G8" s="46" t="str">
        <x:v>Third-party Amazon analytics report high estimated monthly sales and a concentrated $20–$50 assortment band.</x:v>
      </x:c>
      <x:c r="H8" s="46" t="str">
        <x:v>https://www.asinsight.com/report/US/organizers-for-bathroom</x:v>
      </x:c>
      <x:c r="I8" s="46" t="str">
        <x:v>Bathroom, makeup and vanity organization demand and price context.</x:v>
      </x:c>
    </x:row>
    <x:row r="9" ht="54" customHeight="1">
      <x:c r="A9" s="46" t="str">
        <x:v>S08</x:v>
      </x:c>
      <x:c r="B9" s="46" t="str">
        <x:v>Marketplace analytics</x:v>
      </x:c>
      <x:c r="C9" s="46" t="str">
        <x:v>ASINsight</x:v>
      </x:c>
      <x:c r="D9" s="46" t="str">
        <x:v>Best Selling Hardware Storage Organizer: June 2026</x:v>
      </x:c>
      <x:c r="E9" s="46" t="str">
        <x:v>2026-06-07</x:v>
      </x:c>
      <x:c r="F9" s="46" t="str">
        <x:v>2026-08-10</x:v>
      </x:c>
      <x:c r="G9" s="46" t="str">
        <x:v>Third-party Amazon analytics indicate continued demand for modular storage and hardware organization.</x:v>
      </x:c>
      <x:c r="H9" s="46" t="str">
        <x:v>https://www.asinsight.com/report/US/hardware-storage-organizer</x:v>
      </x:c>
      <x:c r="I9" s="46" t="str">
        <x:v>Pegboard, bins and modular organization demand.</x:v>
      </x:c>
    </x:row>
    <x:row r="10" ht="54" customHeight="1">
      <x:c r="A10" s="46" t="str">
        <x:v>S09</x:v>
      </x:c>
      <x:c r="B10" s="46" t="str">
        <x:v>3D-print marketplace signal</x:v>
      </x:c>
      <x:c r="C10" s="46" t="str">
        <x:v>MakerWorld</x:v>
      </x:c>
      <x:c r="D10" s="46" t="str">
        <x:v>Cable Management Collection</x:v>
      </x:c>
      <x:c r="E10" s="46" t="str">
        <x:v>Current</x:v>
      </x:c>
      <x:c r="F10" s="46" t="str">
        <x:v>2026-08-10</x:v>
      </x:c>
      <x:c r="G10" s="46" t="str">
        <x:v>Active cable-management model collections demonstrate strong maker/customer fit for printable passive accessories.</x:v>
      </x:c>
      <x:c r="H10" s="46" t="str">
        <x:v>https://makerworld.com/en/collections/4314227-cable-management</x:v>
      </x:c>
      <x:c r="I10" s="46" t="str">
        <x:v>3D-printability and ecosystem signal for cable products.</x:v>
      </x:c>
    </x:row>
    <x:row r="11" ht="54" customHeight="1">
      <x:c r="A11" s="46" t="str">
        <x:v>S10</x:v>
      </x:c>
      <x:c r="B11" s="46" t="str">
        <x:v>EU regulation / repair</x:v>
      </x:c>
      <x:c r="C11" s="46" t="str">
        <x:v>European Commission</x:v>
      </x:c>
      <x:c r="D11" s="46" t="str">
        <x:v>Directive on repair of goods</x:v>
      </x:c>
      <x:c r="E11" s="46" t="str">
        <x:v>Applicable 2026-07-31</x:v>
      </x:c>
      <x:c r="F11" s="46" t="str">
        <x:v>2026-08-10</x:v>
      </x:c>
      <x:c r="G11" s="46" t="str">
        <x:v>EU repair rules apply from 31 July 2026 and complement ecodesign reparability and spare-parts measures.</x:v>
      </x:c>
      <x:c r="H11" s="46" t="str">
        <x:v>https://commission.europa.eu/law/law-topic/consumer-protection-law/directive-repair-goods_en</x:v>
      </x:c>
      <x:c r="I11" s="46" t="str">
        <x:v>Replacement-parts opportunity and legal context.</x:v>
      </x:c>
    </x:row>
    <x:row r="12" ht="54" customHeight="1">
      <x:c r="A12" s="46" t="str">
        <x:v>S11</x:v>
      </x:c>
      <x:c r="B12" s="46" t="str">
        <x:v>EU regulation</x:v>
      </x:c>
      <x:c r="C12" s="46" t="str">
        <x:v>EUR-Lex</x:v>
      </x:c>
      <x:c r="D12" s="46" t="str">
        <x:v>Regulation (EU) 2023/988 — General Product Safety Regulation, consolidated 29 May 2026</x:v>
      </x:c>
      <x:c r="E12" s="46" t="str">
        <x:v>2026-05-29</x:v>
      </x:c>
      <x:c r="F12" s="46" t="str">
        <x:v>2026-08-10</x:v>
      </x:c>
      <x:c r="G12" s="46" t="str">
        <x:v>Requires safe consumer products, risk analysis, technical documentation, traceability and economic-operator obligations.</x:v>
      </x:c>
      <x:c r="H12" s="46" t="str">
        <x:v>https://eur-lex.europa.eu/eli/reg/2023/988/2026-05-29/eng</x:v>
      </x:c>
      <x:c r="I12" s="46" t="str">
        <x:v>Baseline compliance route for consumer products.</x:v>
      </x:c>
    </x:row>
    <x:row r="13" ht="54" customHeight="1">
      <x:c r="A13" s="46" t="str">
        <x:v>S12</x:v>
      </x:c>
      <x:c r="B13" s="46" t="str">
        <x:v>EU food-contact guidance</x:v>
      </x:c>
      <x:c r="C13" s="46" t="str">
        <x:v>European Commission</x:v>
      </x:c>
      <x:c r="D13" s="46" t="str">
        <x:v>Food Contact Materials</x:v>
      </x:c>
      <x:c r="E13" s="46" t="str">
        <x:v>Current</x:v>
      </x:c>
      <x:c r="F13" s="46" t="str">
        <x:v>2026-08-10</x:v>
      </x:c>
      <x:c r="G13" s="46" t="str">
        <x:v>All food-contact materials placed on the EU market must comply with Regulation (EC) No 1935/2004.</x:v>
      </x:c>
      <x:c r="H13" s="46" t="str">
        <x:v>https://food.ec.europa.eu/food-safety/chemical-safety/food-contact-materials_en</x:v>
      </x:c>
      <x:c r="I13" s="46" t="str">
        <x:v>Food-contact exclusion and specialist program gate.</x:v>
      </x:c>
    </x:row>
    <x:row r="14" ht="54" customHeight="1">
      <x:c r="A14" s="46" t="str">
        <x:v>S13</x:v>
      </x:c>
      <x:c r="B14" s="46" t="str">
        <x:v>EU food-contact legislation</x:v>
      </x:c>
      <x:c r="C14" s="46" t="str">
        <x:v>European Commission</x:v>
      </x:c>
      <x:c r="D14" s="46" t="str">
        <x:v>Food Contact Materials Legislation</x:v>
      </x:c>
      <x:c r="E14" s="46" t="str">
        <x:v>Current</x:v>
      </x:c>
      <x:c r="F14" s="46" t="str">
        <x:v>2026-08-10</x:v>
      </x:c>
      <x:c r="G14" s="46" t="str">
        <x:v>Plastic food-contact materials require supporting documentation and, where applicable, Declaration of Compliance and GMP evidence.</x:v>
      </x:c>
      <x:c r="H14" s="46" t="str">
        <x:v>https://food.ec.europa.eu/food-safety/chemical-safety/food-contact-materials/legislation_en</x:v>
      </x:c>
      <x:c r="I14" s="46" t="str">
        <x:v>Food-contact documentation and migration-testing gate.</x:v>
      </x:c>
    </x:row>
    <x:row r="15" ht="54" customHeight="1">
      <x:c r="A15" s="46" t="str">
        <x:v>S14</x:v>
      </x:c>
      <x:c r="B15" s="46" t="str">
        <x:v>EU toy regulation</x:v>
      </x:c>
      <x:c r="C15" s="46" t="str">
        <x:v>European Commission</x:v>
      </x:c>
      <x:c r="D15" s="46" t="str">
        <x:v>Toy safety</x:v>
      </x:c>
      <x:c r="E15" s="46" t="str">
        <x:v>2026</x:v>
      </x:c>
      <x:c r="F15" s="46" t="str">
        <x:v>2026-08-10</x:v>
      </x:c>
      <x:c r="G15" s="46" t="str">
        <x:v>The Toy Safety Regulation entered into force 1 January 2026 and applies after transition on 1 August 2030; existing toy rules remain relevant during transition.</x:v>
      </x:c>
      <x:c r="H15" s="46" t="str">
        <x:v>https://single-market-economy.ec.europa.eu/sectors/toys/toy-safety_en</x:v>
      </x:c>
      <x:c r="I15" s="46" t="str">
        <x:v>Toy/child classification and CE gate.</x:v>
      </x:c>
    </x:row>
    <x:row r="16" ht="54" customHeight="1">
      <x:c r="A16" s="46" t="str">
        <x:v>S15</x:v>
      </x:c>
      <x:c r="B16" s="46" t="str">
        <x:v>EU electrical regulation</x:v>
      </x:c>
      <x:c r="C16" s="46" t="str">
        <x:v>European Commission</x:v>
      </x:c>
      <x:c r="D16" s="46" t="str">
        <x:v>Electrical and Electronic Equipment Directives</x:v>
      </x:c>
      <x:c r="E16" s="46" t="str">
        <x:v>Current</x:v>
      </x:c>
      <x:c r="F16" s="46" t="str">
        <x:v>2026-08-10</x:v>
      </x:c>
      <x:c r="G16" s="46" t="str">
        <x:v>Electrical equipment can fall under Low Voltage and EMC rules, with other obligations such as RoHS/WEEE depending on the product.</x:v>
      </x:c>
      <x:c r="H16" s="46" t="str">
        <x:v>https://single-market-economy.ec.europa.eu/sectors/electrical-and-electronic-engineering-industries-eei/what-commission-doing_en</x:v>
      </x:c>
      <x:c r="I16" s="46" t="str">
        <x:v>Boundary between passive printed components and complete electrical products.</x:v>
      </x:c>
    </x:row>
    <x:row r="17" ht="54" customHeight="1">
      <x:c r="A17" s="46" t="str">
        <x:v>S16</x:v>
      </x:c>
      <x:c r="B17" s="46" t="str">
        <x:v>EU design rights</x:v>
      </x:c>
      <x:c r="C17" s="46" t="str">
        <x:v>EUIPO</x:v>
      </x:c>
      <x:c r="D17" s="46" t="str">
        <x:v>Design Reform Hub</x:v>
      </x:c>
      <x:c r="E17" s="46" t="str">
        <x:v>2025–2026</x:v>
      </x:c>
      <x:c r="F17" s="46" t="str">
        <x:v>2026-08-10</x:v>
      </x:c>
      <x:c r="G17" s="46" t="str">
        <x:v>EU design rules explicitly address creating, downloading or sharing files embodying protected designs and 3D printing enforcement.</x:v>
      </x:c>
      <x:c r="H17" s="46" t="str">
        <x:v>https://www.euipo.europa.eu/en/designs/design-reform-hub</x:v>
      </x:c>
      <x:c r="I17" s="46" t="str">
        <x:v>IP clearance, replacement parts and third-party designs.</x:v>
      </x:c>
    </x:row>
    <x:row r="18" ht="54" customHeight="1">
      <x:c r="A18" s="46" t="str">
        <x:v>S17</x:v>
      </x:c>
      <x:c r="B18" s="46" t="str">
        <x:v>Licensing</x:v>
      </x:c>
      <x:c r="C18" s="46" t="str">
        <x:v>Creative Commons</x:v>
      </x:c>
      <x:c r="D18" s="46" t="str">
        <x:v>About CC Licenses</x:v>
      </x:c>
      <x:c r="E18" s="46" t="str">
        <x:v>Current</x:v>
      </x:c>
      <x:c r="F18" s="46" t="str">
        <x:v>2026-08-10</x:v>
      </x:c>
      <x:c r="G18" s="46" t="str">
        <x:v>CC BY, BY-SA and BY-ND permit commercial use under their conditions; NC licenses do not permit commercial use.</x:v>
      </x:c>
      <x:c r="H18" s="46" t="str">
        <x:v>https://creativecommons.org/cc-licenses/</x:v>
      </x:c>
      <x:c r="I18" s="46" t="str">
        <x:v>Commercial license classification.</x:v>
      </x:c>
    </x:row>
    <x:row r="19" ht="54" customHeight="1">
      <x:c r="A19" s="46" t="str">
        <x:v>S18</x:v>
      </x:c>
      <x:c r="B19" s="46" t="str">
        <x:v>Marketplace licensing</x:v>
      </x:c>
      <x:c r="C19" s="46" t="str">
        <x:v>MakerWorld</x:v>
      </x:c>
      <x:c r="D19" s="46" t="str">
        <x:v>FAQ</x:v>
      </x:c>
      <x:c r="E19" s="46" t="str">
        <x:v>Current</x:v>
      </x:c>
      <x:c r="F19" s="46" t="str">
        <x:v>2026-08-10</x:v>
      </x:c>
      <x:c r="G19" s="46" t="str">
        <x:v>Commercial-license subscriptions may grant rights to sell physical prints; default model licenses must be checked.</x:v>
      </x:c>
      <x:c r="H19" s="46" t="str">
        <x:v>https://makerworld.com/en/faq</x:v>
      </x:c>
      <x:c r="I19" s="46" t="str">
        <x:v>Third-party model licensing gate.</x:v>
      </x:c>
    </x:row>
    <x:row r="20" ht="54" customHeight="1">
      <x:c r="A20" s="46" t="str">
        <x:v>S19</x:v>
      </x:c>
      <x:c r="B20" s="46" t="str">
        <x:v>Material guidance</x:v>
      </x:c>
      <x:c r="C20" s="46" t="str">
        <x:v>Prusa Research</x:v>
      </x:c>
      <x:c r="D20" s="46" t="str">
        <x:v>Filament Material Guide</x:v>
      </x:c>
      <x:c r="E20" s="46" t="str">
        <x:v>Current</x:v>
      </x:c>
      <x:c r="F20" s="46" t="str">
        <x:v>2026-08-10</x:v>
      </x:c>
      <x:c r="G20" s="46" t="str">
        <x:v>Provides comparative printing and temperature-resistance guidance for PLA, PETG, ASA, PC and other materials.</x:v>
      </x:c>
      <x:c r="H20" s="46" t="str">
        <x:v>https://help.prusa3d.com/filament-material-guide</x:v>
      </x:c>
      <x:c r="I20" s="46" t="str">
        <x:v>Default material routing and thermal boundary assumptions.</x:v>
      </x:c>
    </x:row>
    <x:row r="21" ht="54" customHeight="1">
      <x:c r="A21" s="46" t="str">
        <x:v>S20</x:v>
      </x:c>
      <x:c r="B21" s="46" t="str">
        <x:v>Material guidance</x:v>
      </x:c>
      <x:c r="C21" s="46" t="str">
        <x:v>Prusa Research</x:v>
      </x:c>
      <x:c r="D21" s="46" t="str">
        <x:v>ASA</x:v>
      </x:c>
      <x:c r="E21" s="46" t="str">
        <x:v>Updated 2025-07-30</x:v>
      </x:c>
      <x:c r="F21" s="46" t="str">
        <x:v>2026-08-10</x:v>
      </x:c>
      <x:c r="G21" s="46" t="str">
        <x:v>Describes ASA as UV- and temperature-resistant and suitable for outdoor and technical parts.</x:v>
      </x:c>
      <x:c r="H21" s="46" t="str">
        <x:v>https://help.prusa3d.com/article/asa_1809</x:v>
      </x:c>
      <x:c r="I21" s="46" t="str">
        <x:v>Outdoor material routing.</x:v>
      </x:c>
    </x:row>
    <x:row r="22" ht="54" customHeight="1">
      <x:c r="A22" s="46" t="str">
        <x:v>S21</x:v>
      </x:c>
      <x:c r="B22" s="46" t="str">
        <x:v>Material guidance</x:v>
      </x:c>
      <x:c r="C22" s="46" t="str">
        <x:v>Prusament</x:v>
      </x:c>
      <x:c r="D22" s="46" t="str">
        <x:v>Prusament PC Blend</x:v>
      </x:c>
      <x:c r="E22" s="46" t="str">
        <x:v>Current</x:v>
      </x:c>
      <x:c r="F22" s="46" t="str">
        <x:v>2026-08-10</x:v>
      </x:c>
      <x:c r="G22" s="46" t="str">
        <x:v>Lists PC Blend temperature resistance up to 113 °C and positions it for heat-stressed functional parts.</x:v>
      </x:c>
      <x:c r="H22" s="46" t="str">
        <x:v>https://prusament.com/materials/prusament-pc-blend/</x:v>
      </x:c>
      <x:c r="I22" s="46" t="str">
        <x:v>High-temperature material boundary.</x:v>
      </x:c>
    </x:row>
    <x:row r="23" ht="54" customHeight="1">
      <x:c r="A23" s="46" t="str">
        <x:v>S22</x:v>
      </x:c>
      <x:c r="B23" s="46" t="str">
        <x:v>Printer specification</x:v>
      </x:c>
      <x:c r="C23" s="46" t="str">
        <x:v>Bambu Lab</x:v>
      </x:c>
      <x:c r="D23" s="46" t="str">
        <x:v>P1S product specification</x:v>
      </x:c>
      <x:c r="E23" s="46" t="str">
        <x:v>Current</x:v>
      </x:c>
      <x:c r="F23" s="46" t="str">
        <x:v>2026-08-10</x:v>
      </x:c>
      <x:c r="G23" s="46" t="str">
        <x:v>Lists a 256 × 256 × 256 mm build space, supporting a conservative 240 mm core SKU envelope.</x:v>
      </x:c>
      <x:c r="H23" s="46" t="str">
        <x:v>https://eu.store.bambulab.com/products/p1s</x:v>
      </x:c>
      <x:c r="I23" s="46" t="str">
        <x:v>Core-printer size-class assumption.</x:v>
      </x:c>
    </x:row>
    <x:row r="24" ht="54" customHeight="1">
      <x:c r="A24" s="46" t="str">
        <x:v>S23</x:v>
      </x:c>
      <x:c r="B24" s="46" t="str">
        <x:v>Printer specification</x:v>
      </x:c>
      <x:c r="C24" s="46" t="str">
        <x:v>Anycubic</x:v>
      </x:c>
      <x:c r="D24" s="46" t="str">
        <x:v>Kobra 3 Max product specification</x:v>
      </x:c>
      <x:c r="E24" s="46" t="str">
        <x:v>Current</x:v>
      </x:c>
      <x:c r="F24" s="46" t="str">
        <x:v>2026-08-10</x:v>
      </x:c>
      <x:c r="G24" s="46" t="str">
        <x:v>Lists a 420 × 420 × 500 mm build volume, supporting a conservative large-format envelope.</x:v>
      </x:c>
      <x:c r="H24" s="46" t="str">
        <x:v>https://eu.anycubic.com/products/anycubic-kobra-3-max</x:v>
      </x:c>
      <x:c r="I24" s="46" t="str">
        <x:v>Large-printer size-class assumption.</x:v>
      </x:c>
    </x:row>
    <x:row r="25" ht="54" customHeight="1">
      <x:c r="A25" s="46" t="str">
        <x:v>S24</x:v>
      </x:c>
      <x:c r="B25" s="46" t="str">
        <x:v>EU consumer rights</x:v>
      </x:c>
      <x:c r="C25" s="46" t="str">
        <x:v>Your Europe</x:v>
      </x:c>
      <x:c r="D25" s="46" t="str">
        <x:v>Returns and the right of withdrawal</x:v>
      </x:c>
      <x:c r="E25" s="46" t="str">
        <x:v>Current</x:v>
      </x:c>
      <x:c r="F25" s="46" t="str">
        <x:v>2026-08-10</x:v>
      </x:c>
      <x:c r="G25" s="46" t="str">
        <x:v>Online buyers generally have a 14-day withdrawal right, with exceptions including clearly personalized goods.</x:v>
      </x:c>
      <x:c r="H25" s="46" t="str">
        <x:v>https://europa.eu/youreurope/citizens/consumers/shopping/returns/index_en.htm</x:v>
      </x:c>
      <x:c r="I25" s="46" t="str">
        <x:v>Personalized-product checkout and terms.</x:v>
      </x:c>
    </x:row>
    <x:row r="26" ht="54" customHeight="1">
      <x:c r="A26" s="46" t="str">
        <x:v>S25</x:v>
      </x:c>
      <x:c r="B26" s="46" t="str">
        <x:v>EU selling obligations</x:v>
      </x:c>
      <x:c r="C26" s="46" t="str">
        <x:v>Your Europe</x:v>
      </x:c>
      <x:c r="D26" s="46" t="str">
        <x:v>Selling products in the EU</x:v>
      </x:c>
      <x:c r="E26" s="46" t="str">
        <x:v>Current</x:v>
      </x:c>
      <x:c r="F26" s="46" t="str">
        <x:v>2026-08-10</x:v>
      </x:c>
      <x:c r="G26" s="46" t="str">
        <x:v>Products placed on the EU market must be safe, identifiable and traceable; dangerous products require corrective action.</x:v>
      </x:c>
      <x:c r="H26" s="46" t="str">
        <x:v>https://europa.eu/youreurope/business/selling-in-eu/selling-goods-services/selling-products-eu/index_en.htm</x:v>
      </x:c>
      <x:c r="I26" s="46" t="str">
        <x:v>Traceability and recall workflow.</x:v>
      </x:c>
    </x:row>
    <x:row r="27" ht="54" customHeight="1">
      <x:c r="A27" s="46" t="str">
        <x:v>S26</x:v>
      </x:c>
      <x:c r="B27" s="46" t="str">
        <x:v>EU consumer guarantees</x:v>
      </x:c>
      <x:c r="C27" s="46" t="str">
        <x:v>Your Europe</x:v>
      </x:c>
      <x:c r="D27" s="46" t="str">
        <x:v>Consumer guarantees, warranties, claims and returns</x:v>
      </x:c>
      <x:c r="E27" s="46" t="str">
        <x:v>Current</x:v>
      </x:c>
      <x:c r="F27" s="46" t="str">
        <x:v>2026-08-10</x:v>
      </x:c>
      <x:c r="G27" s="46" t="str">
        <x:v>EU sellers generally owe a minimum two-year legal guarantee for faulty or non-conforming goods.</x:v>
      </x:c>
      <x:c r="H27" s="46" t="str">
        <x:v>https://europa.eu/youreurope/business/selling-in-eu/consumer-contracts-guarantees/consumer-guarantees/index_en.htm</x:v>
      </x:c>
      <x:c r="I27" s="46" t="str">
        <x:v>Warranty reserve and quality-system planning.</x:v>
      </x:c>
    </x:row>
    <x:row r="28" ht="54" customHeight="1">
      <x:c r="A28" s="46" t="str">
        <x:v>S27</x:v>
      </x:c>
      <x:c r="B28" s="46" t="str">
        <x:v>EU CE marking</x:v>
      </x:c>
      <x:c r="C28" s="46" t="str">
        <x:v>European Commission</x:v>
      </x:c>
      <x:c r="D28" s="46" t="str">
        <x:v>CE marking</x:v>
      </x:c>
      <x:c r="E28" s="46" t="str">
        <x:v>Current</x:v>
      </x:c>
      <x:c r="F28" s="46" t="str">
        <x:v>2026-08-10</x:v>
      </x:c>
      <x:c r="G28" s="46" t="str">
        <x:v>CE marking applies only to products covered by specific harmonized EU legislation and signals conformity assessment.</x:v>
      </x:c>
      <x:c r="H28" s="46" t="str">
        <x:v>https://single-market-economy.ec.europa.eu/single-market/goods/ce-marking_en</x:v>
      </x:c>
      <x:c r="I28" s="46" t="str">
        <x:v>Avoiding improper CE claims; specialist product routes.</x:v>
      </x:c>
    </x:row>
    <x:row r="29" ht="54" customHeight="1">
      <x:c r="A29" s="46" t="str">
        <x:v>S28</x:v>
      </x:c>
      <x:c r="B29" s="46" t="str">
        <x:v>Material guidance</x:v>
      </x:c>
      <x:c r="C29" s="46" t="str">
        <x:v>Prusa Research</x:v>
      </x:c>
      <x:c r="D29" s="46" t="str">
        <x:v>Flexible materials</x:v>
      </x:c>
      <x:c r="E29" s="46" t="str">
        <x:v>Updated 2025-12-03</x:v>
      </x:c>
      <x:c r="F29" s="46" t="str">
        <x:v>2026-08-10</x:v>
      </x:c>
      <x:c r="G29" s="46" t="str">
        <x:v>Flexible materials offer flexibility and toughness but are more difficult to print and require appropriate equipment/settings.</x:v>
      </x:c>
      <x:c r="H29" s="46" t="str">
        <x:v>https://help.prusa3d.com/article/flexible-materials_2057</x:v>
      </x:c>
      <x:c r="I29" s="46" t="str">
        <x:v>TPU at-home readiness and process routing.</x:v>
      </x:c>
    </x:row>
    <x:row r="30" ht="54" customHeight="1">
      <x:c r="A30" s="46" t="str">
        <x:v>S29</x:v>
      </x:c>
      <x:c r="B30" s="46" t="str">
        <x:v>EU repair news</x:v>
      </x:c>
      <x:c r="C30" s="46" t="str">
        <x:v>European Commission</x:v>
      </x:c>
      <x:c r="D30" s="46" t="str">
        <x:v>New consumer rights for easy and attractive repairs</x:v>
      </x:c>
      <x:c r="E30" s="46" t="str">
        <x:v>2026-07-31</x:v>
      </x:c>
      <x:c r="F30" s="46" t="str">
        <x:v>2026-08-10</x:v>
      </x:c>
      <x:c r="G30" s="46" t="str">
        <x:v>Confirms new repair rules beginning 31 July 2026 for covered household and electronic products.</x:v>
      </x:c>
      <x:c r="H30" s="46" t="str">
        <x:v>https://commission.europa.eu/news-and-media/news/right-repair-new-consumer-rights-easy-and-attractive-repairs-2026-07-31_en</x:v>
      </x:c>
      <x:c r="I30" s="46" t="str">
        <x:v>Current 2026 replacement-parts demand context.</x:v>
      </x:c>
    </x:row>
    <x:row r="31" ht="54" customHeight="1">
      <x:c r="A31" s="46" t="str">
        <x:v>S30</x:v>
      </x:c>
      <x:c r="B31" s="46" t="str">
        <x:v>3D printer/material guidance</x:v>
      </x:c>
      <x:c r="C31" s="46" t="str">
        <x:v>Anycubic</x:v>
      </x:c>
      <x:c r="D31" s="46" t="str">
        <x:v>Kobra 3 Max Combo specifications</x:v>
      </x:c>
      <x:c r="E31" s="46" t="str">
        <x:v>Current</x:v>
      </x:c>
      <x:c r="F31" s="46" t="str">
        <x:v>2026-08-10</x:v>
      </x:c>
      <x:c r="G31" s="46" t="str">
        <x:v>Lists support for PLA, PETG and TPU 95A and a 420 × 420 × 500 mm build volume.</x:v>
      </x:c>
      <x:c r="H31" s="46" t="str">
        <x:v>https://eu.anycubic.com/products/kobra-3-max-combo</x:v>
      </x:c>
      <x:c r="I31" s="46" t="str">
        <x:v>Large-format and flexible-material routing.</x:v>
      </x:c>
    </x:row>
  </x:sheetData>
  <x:pageMargins left="0.7" right="0.7" top="0.75" bottom="0.75" header="0.3" footer="0.3"/>
  <x:tableParts count="1">
    <x:tablePart xmlns:r="http://schemas.openxmlformats.org/officeDocument/2006/relationships" r:id="R0658b5ee54884aa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32" hidden="0" customWidth="1"/>
    <x:col min="4" max="4" width="48" hidden="0" customWidth="1"/>
    <x:col min="5" max="5" width="34" hidden="0" customWidth="1"/>
    <x:col min="6" max="6" width="20" hidden="0" customWidth="1"/>
    <x:col min="7" max="7" width="40" hidden="0" customWidth="1"/>
    <x:col min="8" max="8" width="18" hidden="0" customWidth="1"/>
  </x:cols>
  <x:sheetData>
    <x:row r="1" ht="32" customHeight="1">
      <x:c r="A1" s="5" t="str">
        <x:v>Future programs and products deliberately excluded from the MVP catalog</x:v>
      </x:c>
      <x:c r="B1" s="5"/>
      <x:c r="C1" s="5"/>
      <x:c r="D1" s="5"/>
      <x:c r="E1" s="5"/>
      <x:c r="F1" s="5"/>
      <x:c r="G1" s="5"/>
      <x:c r="H1" s="5"/>
    </x:row>
    <x:row r="2" ht="34" customHeight="1">
      <x:c r="A2" s="56" t="str">
        <x:v>These are commercially interesting, but should not be listed as ordinary print jobs until the named compliance, testing and rights program exists.</x:v>
      </x:c>
      <x:c r="B2" s="56"/>
      <x:c r="C2" s="56"/>
      <x:c r="D2" s="56"/>
      <x:c r="E2" s="56"/>
      <x:c r="F2" s="56"/>
      <x:c r="G2" s="56"/>
      <x:c r="H2" s="56"/>
    </x:row>
    <x:row r="4" ht="34" customHeight="1">
      <x:c r="A4" s="42" t="str">
        <x:v>Candidate / Program</x:v>
      </x:c>
      <x:c r="B4" s="42" t="str">
        <x:v>Commercial Signal</x:v>
      </x:c>
      <x:c r="C4" s="42" t="str">
        <x:v>Primary Gate</x:v>
      </x:c>
      <x:c r="D4" s="42" t="str">
        <x:v>Required Before Listing</x:v>
      </x:c>
      <x:c r="E4" s="42" t="str">
        <x:v>Suggested Business Route</x:v>
      </x:c>
      <x:c r="F4" s="42" t="str">
        <x:v>Current Decision</x:v>
      </x:c>
      <x:c r="G4" s="42" t="str">
        <x:v>Example Claims to Avoid</x:v>
      </x:c>
      <x:c r="H4" s="42" t="str">
        <x:v>Source IDs</x:v>
      </x:c>
    </x:row>
    <x:row r="5" ht="70" customHeight="1">
      <x:c r="A5" s="46" t="str">
        <x:v>Custom cookie cutters and food stencils</x:v>
      </x:c>
      <x:c r="B5" s="46" t="str">
        <x:v>Personalized kitchen tools are highly suited to on-demand geometry.</x:v>
      </x:c>
      <x:c r="C5" s="46" t="str">
        <x:v>Food-contact finished-article obligations; cleaning and repeated-use conditions.</x:v>
      </x:c>
      <x:c r="D5" s="46" t="str">
        <x:v>Qualified materials and colors, controlled equipment/process, GMP documentation, traceability, intended-food/time/temperature definition, migration/compliance evidence as applicable.</x:v>
      </x:c>
      <x:c r="E5" s="46" t="str">
        <x:v>Separate food-contact production line or qualified manufacturing partner.</x:v>
      </x:c>
      <x:c r="F5" s="46" t="str">
        <x:v>Hold for specialist program</x:v>
      </x:c>
      <x:c r="G5" s="46" t="str">
        <x:v>“Food safe because the filament is food safe.”</x:v>
      </x:c>
      <x:c r="H5" s="46" t="str">
        <x:v>S12; S13</x:v>
      </x:c>
    </x:row>
    <x:row r="6" ht="70" customHeight="1">
      <x:c r="A6" s="46" t="str">
        <x:v>Reusable cups, bowls and food-storage containers</x:v>
      </x:c>
      <x:c r="B6" s="46" t="str">
        <x:v>High personalization and replacement potential.</x:v>
      </x:c>
      <x:c r="C6" s="46" t="str">
        <x:v>Food contact plus hot/cold use, repeated washing, porosity and migration conditions.</x:v>
      </x:c>
      <x:c r="D6" s="46" t="str">
        <x:v>Finished-article validation, documented cleaning/use limits, declarations and lab support where required.</x:v>
      </x:c>
      <x:c r="E6" s="46" t="str">
        <x:v>Partner with an experienced food-contact manufacturer; do not use generic marketplace nodes.</x:v>
      </x:c>
      <x:c r="F6" s="46" t="str">
        <x:v>Do not launch in MVP</x:v>
      </x:c>
      <x:c r="G6" s="46" t="str">
        <x:v>“Dishwasher safe”, “microwave safe” or “hot-food safe” without evidence.</x:v>
      </x:c>
      <x:c r="H6" s="46" t="str">
        <x:v>S12; S13</x:v>
      </x:c>
    </x:row>
    <x:row r="7" ht="70" customHeight="1">
      <x:c r="A7" s="46" t="str">
        <x:v>Children’s articulated toys and play sets</x:v>
      </x:c>
      <x:c r="B7" s="46" t="str">
        <x:v>Strong marketplace engagement and gifting demand.</x:v>
      </x:c>
      <x:c r="C7" s="46" t="str">
        <x:v>Toy classification, safety assessment, chemical/mechanical/flammability requirements and CE obligations.</x:v>
      </x:c>
      <x:c r="D7" s="46" t="str">
        <x:v>Age grading, foreseeable-use testing, small-parts assessment, material controls, technical file, conformity route and labeling.</x:v>
      </x:c>
      <x:c r="E7" s="46" t="str">
        <x:v>Dedicated toy product line with specialist compliance support.</x:v>
      </x:c>
      <x:c r="F7" s="46" t="str">
        <x:v>Hold for specialist program</x:v>
      </x:c>
      <x:c r="G7" s="46" t="str">
        <x:v>Using “14+” solely to avoid toy obligations when the product is clearly intended for play.</x:v>
      </x:c>
      <x:c r="H7" s="46" t="str">
        <x:v>S14; S27</x:v>
      </x:c>
    </x:row>
    <x:row r="8" ht="70" customHeight="1">
      <x:c r="A8" s="46" t="str">
        <x:v>Complete powered lamps and USB lighting products</x:v>
      </x:c>
      <x:c r="B8" s="46" t="str">
        <x:v>Aesthetic lamps are a strong additive use case.</x:v>
      </x:c>
      <x:c r="C8" s="46" t="str">
        <x:v>Electrical safety, EMC, RoHS/WEEE and CE responsibilities may apply to the finished product.</x:v>
      </x:c>
      <x:c r="D8" s="46" t="str">
        <x:v>Approved architecture, component evidence, risk assessment, applicable standards testing, technical documentation and economic-operator obligations.</x:v>
      </x:c>
      <x:c r="E8" s="46" t="str">
        <x:v>Start with passive shades; later partner for certified electrical assemblies.</x:v>
      </x:c>
      <x:c r="F8" s="46" t="str">
        <x:v>Passive components only</x:v>
      </x:c>
      <x:c r="G8" s="46" t="str">
        <x:v>“CE components inside” as proof that the final assembled product is compliant.</x:v>
      </x:c>
      <x:c r="H8" s="46" t="str">
        <x:v>S15; S27</x:v>
      </x:c>
    </x:row>
    <x:row r="9" ht="70" customHeight="1">
      <x:c r="A9" s="46" t="str">
        <x:v>Mains cable clips used as insulation or strain relief</x:v>
      </x:c>
      <x:c r="B9" s="46" t="str">
        <x:v>Small and printable, but function can be safety critical.</x:v>
      </x:c>
      <x:c r="C9" s="46" t="str">
        <x:v>Electrical insulation, heat, fire and mechanical-retention risk.</x:v>
      </x:c>
      <x:c r="D9" s="46" t="str">
        <x:v>Material flammability/electrical evidence, tested design, controlled process and applicable standards review.</x:v>
      </x:c>
      <x:c r="E9" s="46" t="str">
        <x:v>Exclude from generic print routing.</x:v>
      </x:c>
      <x:c r="F9" s="46" t="str">
        <x:v>Do not list</x:v>
      </x:c>
      <x:c r="G9" s="46" t="str">
        <x:v>“Electrical-safe” or “flameproof” based only on polymer family.</x:v>
      </x:c>
      <x:c r="H9" s="46" t="str">
        <x:v>S11; S15; S27</x:v>
      </x:c>
    </x:row>
    <x:row r="10" ht="70" customHeight="1">
      <x:c r="A10" s="46" t="str">
        <x:v>Medical braces, orthoses and diagnostic accessories</x:v>
      </x:c>
      <x:c r="B10" s="46" t="str">
        <x:v>Exact-fit customization is a natural additive advantage.</x:v>
      </x:c>
      <x:c r="C10" s="46" t="str">
        <x:v>Potential medical-device classification and patient-specific risk.</x:v>
      </x:c>
      <x:c r="D10" s="46" t="str">
        <x:v>Regulatory classification, quality-management process, clinical/performance evidence, traceability and professional oversight.</x:v>
      </x:c>
      <x:c r="E10" s="46" t="str">
        <x:v>Only through a regulated medical-device partner.</x:v>
      </x:c>
      <x:c r="F10" s="46" t="str">
        <x:v>Outside current scope</x:v>
      </x:c>
      <x:c r="G10" s="46" t="str">
        <x:v>Therapeutic, corrective or diagnostic claims.</x:v>
      </x:c>
      <x:c r="H10" s="46" t="str">
        <x:v>S11; S25</x:v>
      </x:c>
    </x:row>
    <x:row r="11" ht="70" customHeight="1">
      <x:c r="A11" s="46" t="str">
        <x:v>PPE, helmets and protective guards</x:v>
      </x:c>
      <x:c r="B11" s="46" t="str">
        <x:v>Personal fit and lightweight geometry are attractive.</x:v>
      </x:c>
      <x:c r="C11" s="46" t="str">
        <x:v>Personal-protective-equipment conformity and severe injury risk.</x:v>
      </x:c>
      <x:c r="D11" s="46" t="str">
        <x:v>Applicable PPE route, notified-body involvement where required, impact/performance testing and controlled production.</x:v>
      </x:c>
      <x:c r="E11" s="46" t="str">
        <x:v>Exclude unless run as a dedicated certified product program.</x:v>
      </x:c>
      <x:c r="F11" s="46" t="str">
        <x:v>Outside current scope</x:v>
      </x:c>
      <x:c r="G11" s="46" t="str">
        <x:v>“Protective”, “impact-rated” or “safety certified” without conformity evidence.</x:v>
      </x:c>
      <x:c r="H11" s="46" t="str">
        <x:v>S11; S27</x:v>
      </x:c>
    </x:row>
    <x:row r="12" ht="70" customHeight="1">
      <x:c r="A12" s="46" t="str">
        <x:v>Automotive, bicycle and mobility safety parts</x:v>
      </x:c>
      <x:c r="B12" s="46" t="str">
        <x:v>Replacement demand and long-tail availability are compelling.</x:v>
      </x:c>
      <x:c r="C12" s="46" t="str">
        <x:v>Failure can cause injury; temperature, fatigue and liability are high.</x:v>
      </x:c>
      <x:c r="D12" s="46" t="str">
        <x:v>OEM/rightsholder clearance, engineering specification, fatigue/environmental testing and product-specific regulatory review.</x:v>
      </x:c>
      <x:c r="E12" s="46" t="str">
        <x:v>Limit MVP to cosmetic caps and non-safety interior organizers.</x:v>
      </x:c>
      <x:c r="F12" s="46" t="str">
        <x:v>Safety-critical parts excluded</x:v>
      </x:c>
      <x:c r="G12" s="46" t="str">
        <x:v>Brake, steering, restraint, structural or roadworthiness claims.</x:v>
      </x:c>
      <x:c r="H12" s="46" t="str">
        <x:v>S10; S11; S16; S29</x:v>
      </x:c>
    </x:row>
    <x:row r="13" ht="70" customHeight="1">
      <x:c r="A13" s="46" t="str">
        <x:v>Gas, pressure, plumbing and high-temperature functional parts</x:v>
      </x:c>
      <x:c r="B13" s="46" t="str">
        <x:v>Obsolete adapters can be difficult to source.</x:v>
      </x:c>
      <x:c r="C13" s="46" t="str">
        <x:v>Leak, fire, pressure and temperature failure modes.</x:v>
      </x:c>
      <x:c r="D13" s="46" t="str">
        <x:v>Product-specific standards, material certification, pressure/leak/thermal testing and controlled manufacturing.</x:v>
      </x:c>
      <x:c r="E13" s="46" t="str">
        <x:v>Do not route through ordinary consumer print nodes.</x:v>
      </x:c>
      <x:c r="F13" s="46" t="str">
        <x:v>Do not list</x:v>
      </x:c>
      <x:c r="G13" s="46" t="str">
        <x:v>“Pressure-rated”, “gas-tight” or “potable-water safe” without evidence.</x:v>
      </x:c>
      <x:c r="H13" s="46" t="str">
        <x:v>S11; S25</x:v>
      </x:c>
    </x:row>
    <x:row r="14" ht="70" customHeight="1">
      <x:c r="A14" s="46" t="str">
        <x:v>Baby feeding, teething and sleep products</x:v>
      </x:c>
      <x:c r="B14" s="46" t="str">
        <x:v>Personalized baby products have gifting appeal.</x:v>
      </x:c>
      <x:c r="C14" s="46" t="str">
        <x:v>Food contact, choking, hygiene and vulnerable-user risk.</x:v>
      </x:c>
      <x:c r="D14" s="46" t="str">
        <x:v>Specialist product safety and food-contact program, age/use testing, material controls and explicit warnings.</x:v>
      </x:c>
      <x:c r="E14" s="46" t="str">
        <x:v>Exclude from MVP.</x:v>
      </x:c>
      <x:c r="F14" s="46" t="str">
        <x:v>Do not list</x:v>
      </x:c>
      <x:c r="G14" s="46" t="str">
        <x:v>“Baby safe”, “BPA free” or “teething safe” without a complete evidence file.</x:v>
      </x:c>
      <x:c r="H14" s="46" t="str">
        <x:v>S11; S12; S13; S14</x:v>
      </x:c>
    </x:row>
    <x:row r="15" ht="70" customHeight="1">
      <x:c r="A15" s="46" t="str">
        <x:v>Third-party fan art, logos and branded replicas</x:v>
      </x:c>
      <x:c r="B15" s="46" t="str">
        <x:v>High demand can make these appear commercially attractive.</x:v>
      </x:c>
      <x:c r="C15" s="46" t="str">
        <x:v>Copyright, trademark and registered/unregistered design rights.</x:v>
      </x:c>
      <x:c r="D15" s="46" t="str">
        <x:v>Written commercial license or rightsholder partnership; documented provenance for every design and graphic.</x:v>
      </x:c>
      <x:c r="E15" s="46" t="str">
        <x:v>Build original IP or licensed brand partnerships.</x:v>
      </x:c>
      <x:c r="F15" s="46" t="str">
        <x:v>No unlicensed listings</x:v>
      </x:c>
      <x:c r="G15" s="46" t="str">
        <x:v>“Inspired by” as a substitute for permission.</x:v>
      </x:c>
      <x:c r="H15" s="46" t="str">
        <x:v>S16; S17; S18</x:v>
      </x:c>
    </x:row>
    <x:row r="16" ht="70" customHeight="1">
      <x:c r="A16" s="46" t="str">
        <x:v>Unverified scanned replacement parts</x:v>
      </x:c>
      <x:c r="B16" s="46" t="str">
        <x:v>Right-to-repair increases demand for long-tail spares.</x:v>
      </x:c>
      <x:c r="C16" s="46" t="str">
        <x:v>Design rights, fit uncertainty, hidden safety function and product-liability exposure.</x:v>
      </x:c>
      <x:c r="D16" s="46" t="str">
        <x:v>Rights check, intended-use classification, customer-supplied measurements, material/environment validation and clear exclusions.</x:v>
      </x:c>
      <x:c r="E16" s="46" t="str">
        <x:v>Launch only a screened non-safety-critical replacement-part service.</x:v>
      </x:c>
      <x:c r="F16" s="46" t="str">
        <x:v>Case-by-case review</x:v>
      </x:c>
      <x:c r="G16" s="46" t="str">
        <x:v>“OEM equivalent” or safety/performance equivalence without evidence.</x:v>
      </x:c>
      <x:c r="H16" s="46" t="str">
        <x:v>S10; S11; S16; S29</x:v>
      </x:c>
    </x:row>
  </x:sheetData>
  <x:mergeCells>
    <x:mergeCell ref="A1:H1"/>
    <x:mergeCell ref="A2:H2"/>
  </x:mergeCells>
  <x:conditionalFormatting sqref="F5:F16">
    <x:cfRule type="expression" dxfId="16" priority="1">
      <x:formula>$F5="Do not list"</x:formula>
    </x:cfRule>
    <x:cfRule type="expression" dxfId="17" priority="2">
      <x:formula>OR($F5="Hold for specialist program",$F5="Outside current scope")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905b4dfab840c7"/>
  </x:tableParts>
</x:worksheet>
</file>